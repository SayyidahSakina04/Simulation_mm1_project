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PUCIT\Semester_7\SIM_MOD\Simulation_Project\task1_outputs\"/>
    </mc:Choice>
  </mc:AlternateContent>
  <xr:revisionPtr revIDLastSave="0" documentId="13_ncr:1_{09953D31-7DC7-4D42-9AA9-E15085D838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" i="1" l="1"/>
  <c r="R5" i="1"/>
  <c r="S5" i="1"/>
  <c r="S6" i="1"/>
  <c r="S4" i="1"/>
  <c r="R4" i="1"/>
  <c r="G4" i="1"/>
  <c r="I4" i="1" s="1"/>
  <c r="E4" i="1"/>
  <c r="J5" i="1"/>
  <c r="L5" i="1" s="1"/>
  <c r="J6" i="1"/>
  <c r="L6" i="1" s="1"/>
  <c r="J7" i="1"/>
  <c r="L7" i="1" s="1"/>
  <c r="J8" i="1"/>
  <c r="L8" i="1" s="1"/>
  <c r="J9" i="1"/>
  <c r="L9" i="1" s="1"/>
  <c r="J10" i="1"/>
  <c r="K10" i="1" s="1"/>
  <c r="J11" i="1"/>
  <c r="K11" i="1" s="1"/>
  <c r="J12" i="1"/>
  <c r="K12" i="1" s="1"/>
  <c r="J4" i="1"/>
  <c r="K4" i="1" s="1"/>
  <c r="G5" i="1"/>
  <c r="H5" i="1" s="1"/>
  <c r="G6" i="1"/>
  <c r="I6" i="1" s="1"/>
  <c r="G7" i="1"/>
  <c r="H7" i="1" s="1"/>
  <c r="G8" i="1"/>
  <c r="H8" i="1" s="1"/>
  <c r="G9" i="1"/>
  <c r="H9" i="1" s="1"/>
  <c r="G10" i="1"/>
  <c r="I10" i="1" s="1"/>
  <c r="G11" i="1"/>
  <c r="I11" i="1" s="1"/>
  <c r="G12" i="1"/>
  <c r="I12" i="1" s="1"/>
  <c r="F5" i="1"/>
  <c r="F6" i="1"/>
  <c r="F7" i="1"/>
  <c r="F8" i="1"/>
  <c r="F9" i="1"/>
  <c r="F10" i="1"/>
  <c r="F11" i="1"/>
  <c r="F12" i="1"/>
  <c r="F4" i="1"/>
  <c r="E5" i="1"/>
  <c r="E6" i="1"/>
  <c r="E7" i="1"/>
  <c r="E8" i="1"/>
  <c r="E9" i="1"/>
  <c r="E10" i="1"/>
  <c r="E11" i="1"/>
  <c r="E12" i="1"/>
  <c r="H12" i="1" l="1"/>
  <c r="H11" i="1"/>
  <c r="L4" i="1"/>
  <c r="L12" i="1"/>
  <c r="H4" i="1"/>
  <c r="H6" i="1"/>
  <c r="L11" i="1"/>
  <c r="I8" i="1"/>
  <c r="K9" i="1"/>
  <c r="I7" i="1"/>
  <c r="K8" i="1"/>
  <c r="H10" i="1"/>
  <c r="K7" i="1"/>
  <c r="L10" i="1"/>
  <c r="I5" i="1"/>
  <c r="K6" i="1"/>
  <c r="K5" i="1"/>
  <c r="I9" i="1"/>
</calcChain>
</file>

<file path=xl/sharedStrings.xml><?xml version="1.0" encoding="utf-8"?>
<sst xmlns="http://schemas.openxmlformats.org/spreadsheetml/2006/main" count="167" uniqueCount="46">
  <si>
    <t>Summary Measures (across all batches)</t>
  </si>
  <si>
    <t>Server Utilization</t>
  </si>
  <si>
    <t>Loss/Blocking Probability</t>
  </si>
  <si>
    <t>Average Number in Queue)</t>
  </si>
  <si>
    <t>0	+/- 0	(-1.#IND %)</t>
  </si>
  <si>
    <t>Average Delay of Queued Arrivals</t>
  </si>
  <si>
    <t>-1.#IND	+/- -1.#IND	(-1.#IND %)</t>
  </si>
  <si>
    <t>Mean inter-arrival time</t>
  </si>
  <si>
    <t xml:space="preserve">Mean service time </t>
  </si>
  <si>
    <t>Part a where k = 250</t>
  </si>
  <si>
    <t>Part a where k = 1000</t>
  </si>
  <si>
    <t>Part a where k = 4000</t>
  </si>
  <si>
    <t>Part b where k = 250</t>
  </si>
  <si>
    <t>Part b where k = 1000</t>
  </si>
  <si>
    <t>Part b where k = 4000</t>
  </si>
  <si>
    <t>Part c where k = 250</t>
  </si>
  <si>
    <t>Part c where k = 1000</t>
  </si>
  <si>
    <t>Part c where k = 4000</t>
  </si>
  <si>
    <t>Half size</t>
  </si>
  <si>
    <t>a</t>
  </si>
  <si>
    <t>b</t>
  </si>
  <si>
    <t>c</t>
  </si>
  <si>
    <t>Part</t>
  </si>
  <si>
    <t>Arrivals/ batch (k)</t>
  </si>
  <si>
    <t>Mean (X bar)</t>
  </si>
  <si>
    <t>Confidence</t>
  </si>
  <si>
    <t>z-value</t>
  </si>
  <si>
    <t>HALF SIZE: 90% CI</t>
  </si>
  <si>
    <t>HALF SIZE: 95% CI</t>
  </si>
  <si>
    <t>Upper - 95</t>
  </si>
  <si>
    <t>Lower - 95</t>
  </si>
  <si>
    <t>Upper - 90</t>
  </si>
  <si>
    <t>Lower - 90</t>
  </si>
  <si>
    <t>Upper - 99</t>
  </si>
  <si>
    <t>Lower - 99</t>
  </si>
  <si>
    <t>HALF SIZE: 99% CI</t>
  </si>
  <si>
    <t>Average Number in Queue</t>
  </si>
  <si>
    <t>Part d_a where k = 1000</t>
  </si>
  <si>
    <t>Batches = 400</t>
  </si>
  <si>
    <t>Part d_b where k = 1000</t>
  </si>
  <si>
    <t>Part d_c where k = 1000</t>
  </si>
  <si>
    <t>d-a</t>
  </si>
  <si>
    <t>d-b</t>
  </si>
  <si>
    <t>d-c</t>
  </si>
  <si>
    <t>Batch size</t>
  </si>
  <si>
    <t>Arrivals/batch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</si>
</sst>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vertical="center" wrapText="1" readingOrder="1"/>
    </xf>
    <xf numFmtId="9" fontId="3" fillId="0" borderId="0" xfId="0" applyNumberFormat="1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7"/>
  <sheetViews>
    <sheetView tabSelected="1" zoomScale="65" zoomScaleNormal="115" workbookViewId="0">
      <selection activeCell="S6" sqref="S6"/>
    </sheetView>
  </sheetViews>
  <sheetFormatPr defaultRowHeight="14.5" x14ac:dyDescent="0.35"/>
  <cols>
    <col min="1" max="1" width="34.1796875" customWidth="1"/>
    <col min="2" max="2" width="28.08984375" bestFit="1" customWidth="1"/>
    <col min="3" max="3" width="15.1796875" customWidth="1"/>
    <col min="4" max="4" width="15.453125" bestFit="1" customWidth="1"/>
    <col min="5" max="5" width="13.36328125" customWidth="1"/>
    <col min="6" max="6" width="12.81640625" customWidth="1"/>
    <col min="7" max="7" width="15.453125" bestFit="1" customWidth="1"/>
    <col min="8" max="9" width="11.81640625" bestFit="1" customWidth="1"/>
    <col min="10" max="10" width="17.26953125" customWidth="1"/>
    <col min="11" max="11" width="9.54296875" bestFit="1" customWidth="1"/>
    <col min="12" max="12" width="14.54296875" customWidth="1"/>
    <col min="13" max="13" width="10.1796875" bestFit="1" customWidth="1"/>
    <col min="14" max="14" width="9" bestFit="1" customWidth="1"/>
    <col min="15" max="15" width="10.1796875" bestFit="1" customWidth="1"/>
    <col min="18" max="18" width="11.1796875" customWidth="1"/>
  </cols>
  <sheetData>
    <row r="1" spans="1:20" ht="15" thickBot="1" x14ac:dyDescent="0.4"/>
    <row r="2" spans="1:20" ht="15" thickBot="1" x14ac:dyDescent="0.4">
      <c r="A2" s="28" t="s">
        <v>44</v>
      </c>
      <c r="B2" s="4">
        <v>100</v>
      </c>
      <c r="N2" s="28" t="s">
        <v>44</v>
      </c>
      <c r="O2" s="4">
        <v>400</v>
      </c>
    </row>
    <row r="3" spans="1:20" ht="15" thickBot="1" x14ac:dyDescent="0.4">
      <c r="A3" s="26" t="s">
        <v>22</v>
      </c>
      <c r="B3" s="29" t="s">
        <v>23</v>
      </c>
      <c r="C3" s="29" t="s">
        <v>24</v>
      </c>
      <c r="D3" s="29" t="s">
        <v>28</v>
      </c>
      <c r="E3" s="29" t="s">
        <v>29</v>
      </c>
      <c r="F3" s="29" t="s">
        <v>30</v>
      </c>
      <c r="G3" s="29" t="s">
        <v>27</v>
      </c>
      <c r="H3" s="29" t="s">
        <v>31</v>
      </c>
      <c r="I3" s="29" t="s">
        <v>32</v>
      </c>
      <c r="J3" s="29" t="s">
        <v>35</v>
      </c>
      <c r="K3" s="29" t="s">
        <v>33</v>
      </c>
      <c r="L3" s="27" t="s">
        <v>34</v>
      </c>
      <c r="N3" s="26" t="s">
        <v>22</v>
      </c>
      <c r="O3" s="29" t="s">
        <v>45</v>
      </c>
      <c r="P3" s="29" t="s">
        <v>24</v>
      </c>
      <c r="Q3" s="29" t="s">
        <v>28</v>
      </c>
      <c r="R3" s="29" t="s">
        <v>29</v>
      </c>
      <c r="S3" s="27" t="s">
        <v>30</v>
      </c>
    </row>
    <row r="4" spans="1:20" x14ac:dyDescent="0.35">
      <c r="A4" s="5" t="s">
        <v>19</v>
      </c>
      <c r="B4" s="2">
        <v>250</v>
      </c>
      <c r="C4" s="2">
        <v>0.50771999999999995</v>
      </c>
      <c r="D4" s="2">
        <v>6.1290700000000004E-3</v>
      </c>
      <c r="E4" s="2">
        <f>C4+D4</f>
        <v>0.51384906999999991</v>
      </c>
      <c r="F4" s="2">
        <f>C4-D4</f>
        <v>0.50159092999999999</v>
      </c>
      <c r="G4" s="2">
        <f>D4* (1.645 / 1.96)</f>
        <v>5.1440408928571432E-3</v>
      </c>
      <c r="H4" s="2">
        <f>C4+G4</f>
        <v>0.51286404089285709</v>
      </c>
      <c r="I4" s="2">
        <f>C4-G4</f>
        <v>0.50257595910714281</v>
      </c>
      <c r="J4" s="2">
        <f>D4 * (2.576/1.96)</f>
        <v>8.0553491428571426E-3</v>
      </c>
      <c r="K4" s="2">
        <f>C4+J4</f>
        <v>0.51577534914285705</v>
      </c>
      <c r="L4" s="6">
        <f>C4-J4</f>
        <v>0.49966465085714279</v>
      </c>
      <c r="N4" s="5" t="s">
        <v>41</v>
      </c>
      <c r="O4" s="2">
        <v>1000</v>
      </c>
      <c r="P4" s="2">
        <v>0.50008300000000006</v>
      </c>
      <c r="Q4" s="3">
        <v>1.57311E-3</v>
      </c>
      <c r="R4" s="2">
        <f>P4+Q4</f>
        <v>0.5016561100000001</v>
      </c>
      <c r="S4" s="6">
        <f>P4-Q4</f>
        <v>0.49850989000000007</v>
      </c>
    </row>
    <row r="5" spans="1:20" x14ac:dyDescent="0.35">
      <c r="A5" s="5" t="s">
        <v>19</v>
      </c>
      <c r="B5" s="2">
        <v>1000</v>
      </c>
      <c r="C5" s="2">
        <v>0.49985000000000002</v>
      </c>
      <c r="D5" s="2">
        <v>3.1518399999999999E-3</v>
      </c>
      <c r="E5" s="2">
        <f t="shared" ref="E5:E12" si="0">C5+D5</f>
        <v>0.50300184000000003</v>
      </c>
      <c r="F5" s="2">
        <f t="shared" ref="F5:F12" si="1">C5-D5</f>
        <v>0.49669816</v>
      </c>
      <c r="G5" s="2">
        <f t="shared" ref="G5:G12" si="2">D5* (1.645 / 1.96)</f>
        <v>2.6452942857142859E-3</v>
      </c>
      <c r="H5" s="2">
        <f t="shared" ref="H5:H12" si="3">C5+G5</f>
        <v>0.50249529428571427</v>
      </c>
      <c r="I5" s="2">
        <f t="shared" ref="I5:I12" si="4">C5-G5</f>
        <v>0.49720470571428571</v>
      </c>
      <c r="J5" s="2">
        <f t="shared" ref="J5:J12" si="5">D5 * (2.576/1.96)</f>
        <v>4.1424182857142857E-3</v>
      </c>
      <c r="K5" s="2">
        <f t="shared" ref="K5:K12" si="6">C5+J5</f>
        <v>0.50399241828571428</v>
      </c>
      <c r="L5" s="6">
        <f t="shared" ref="L5:L12" si="7">C5-J5</f>
        <v>0.49570758171428575</v>
      </c>
      <c r="N5" s="5" t="s">
        <v>42</v>
      </c>
      <c r="O5" s="2">
        <v>1000</v>
      </c>
      <c r="P5" s="2">
        <v>0.44448199999999999</v>
      </c>
      <c r="Q5" s="2">
        <v>1.5448E-3</v>
      </c>
      <c r="R5" s="2">
        <f t="shared" ref="R5:R6" si="8">P5+Q5</f>
        <v>0.4460268</v>
      </c>
      <c r="S5" s="6">
        <f t="shared" ref="S5:S6" si="9">P5-Q5</f>
        <v>0.44293719999999998</v>
      </c>
    </row>
    <row r="6" spans="1:20" ht="15" thickBot="1" x14ac:dyDescent="0.4">
      <c r="A6" s="5" t="s">
        <v>19</v>
      </c>
      <c r="B6" s="2">
        <v>4000</v>
      </c>
      <c r="C6" s="2">
        <v>0.50001799999999996</v>
      </c>
      <c r="D6" s="2">
        <v>1.6609400000000001E-3</v>
      </c>
      <c r="E6" s="2">
        <f t="shared" si="0"/>
        <v>0.50167894000000002</v>
      </c>
      <c r="F6" s="2">
        <f t="shared" si="1"/>
        <v>0.49835705999999996</v>
      </c>
      <c r="G6" s="2">
        <f t="shared" si="2"/>
        <v>1.3940032142857144E-3</v>
      </c>
      <c r="H6" s="2">
        <f t="shared" si="3"/>
        <v>0.5014120032142857</v>
      </c>
      <c r="I6" s="2">
        <f t="shared" si="4"/>
        <v>0.49862399678571423</v>
      </c>
      <c r="J6" s="2">
        <f t="shared" si="5"/>
        <v>2.1829497142857143E-3</v>
      </c>
      <c r="K6" s="2">
        <f t="shared" si="6"/>
        <v>0.50220094971428564</v>
      </c>
      <c r="L6" s="6">
        <f t="shared" si="7"/>
        <v>0.49783505028571423</v>
      </c>
      <c r="N6" s="7" t="s">
        <v>43</v>
      </c>
      <c r="O6" s="8">
        <v>1000</v>
      </c>
      <c r="P6" s="8">
        <v>0.37529200000000001</v>
      </c>
      <c r="Q6" s="8">
        <v>1.4509799999999999E-3</v>
      </c>
      <c r="R6" s="8">
        <f>P6+Q6</f>
        <v>0.37674298000000001</v>
      </c>
      <c r="S6" s="9">
        <f t="shared" si="9"/>
        <v>0.37384102000000002</v>
      </c>
    </row>
    <row r="7" spans="1:20" x14ac:dyDescent="0.35">
      <c r="A7" s="5" t="s">
        <v>20</v>
      </c>
      <c r="B7" s="2">
        <v>250</v>
      </c>
      <c r="C7" s="2">
        <v>0.45363999999999999</v>
      </c>
      <c r="D7" s="2">
        <v>6.0626999999999999E-3</v>
      </c>
      <c r="E7" s="2">
        <f t="shared" si="0"/>
        <v>0.45970269999999996</v>
      </c>
      <c r="F7" s="2">
        <f t="shared" si="1"/>
        <v>0.44757730000000001</v>
      </c>
      <c r="G7" s="2">
        <f t="shared" si="2"/>
        <v>5.0883374999999998E-3</v>
      </c>
      <c r="H7" s="2">
        <f>C7+G7</f>
        <v>0.45872833749999997</v>
      </c>
      <c r="I7" s="2">
        <f t="shared" si="4"/>
        <v>0.4485516625</v>
      </c>
      <c r="J7" s="2">
        <f t="shared" si="5"/>
        <v>7.9681200000000004E-3</v>
      </c>
      <c r="K7" s="2">
        <f t="shared" si="6"/>
        <v>0.46160812000000001</v>
      </c>
      <c r="L7" s="6">
        <f t="shared" si="7"/>
        <v>0.44567187999999996</v>
      </c>
    </row>
    <row r="8" spans="1:20" x14ac:dyDescent="0.35">
      <c r="A8" s="5" t="s">
        <v>20</v>
      </c>
      <c r="B8" s="2">
        <v>1000</v>
      </c>
      <c r="C8" s="2">
        <v>0.44372</v>
      </c>
      <c r="D8" s="2">
        <v>3.4755900000000002E-3</v>
      </c>
      <c r="E8" s="2">
        <f t="shared" si="0"/>
        <v>0.44719558999999998</v>
      </c>
      <c r="F8" s="2">
        <f t="shared" si="1"/>
        <v>0.44024441000000003</v>
      </c>
      <c r="G8" s="2">
        <f t="shared" si="2"/>
        <v>2.9170130357142861E-3</v>
      </c>
      <c r="H8" s="2">
        <f t="shared" si="3"/>
        <v>0.44663701303571429</v>
      </c>
      <c r="I8" s="2">
        <f t="shared" si="4"/>
        <v>0.44080298696428571</v>
      </c>
      <c r="J8" s="2">
        <f t="shared" si="5"/>
        <v>4.5679182857142862E-3</v>
      </c>
      <c r="K8" s="2">
        <f t="shared" si="6"/>
        <v>0.44828791828571429</v>
      </c>
      <c r="L8" s="6">
        <f t="shared" si="7"/>
        <v>0.43915208171428571</v>
      </c>
      <c r="M8" s="15"/>
      <c r="N8" s="15"/>
      <c r="R8" s="13"/>
      <c r="S8" s="13"/>
      <c r="T8" s="13"/>
    </row>
    <row r="9" spans="1:20" x14ac:dyDescent="0.35">
      <c r="A9" s="5" t="s">
        <v>20</v>
      </c>
      <c r="B9" s="2">
        <v>4000</v>
      </c>
      <c r="C9" s="2">
        <v>0.44420300000000001</v>
      </c>
      <c r="D9" s="2">
        <v>1.6867E-3</v>
      </c>
      <c r="E9" s="2">
        <f t="shared" si="0"/>
        <v>0.4458897</v>
      </c>
      <c r="F9" s="2">
        <f t="shared" si="1"/>
        <v>0.44251630000000003</v>
      </c>
      <c r="G9" s="2">
        <f t="shared" si="2"/>
        <v>1.4156232142857144E-3</v>
      </c>
      <c r="H9" s="2">
        <f>C9+G9</f>
        <v>0.44561862321428575</v>
      </c>
      <c r="I9" s="2">
        <f t="shared" si="4"/>
        <v>0.44278737678571428</v>
      </c>
      <c r="J9" s="2">
        <f t="shared" si="5"/>
        <v>2.2168057142857144E-3</v>
      </c>
      <c r="K9" s="2">
        <f t="shared" si="6"/>
        <v>0.44641980571428574</v>
      </c>
      <c r="L9" s="6">
        <f t="shared" si="7"/>
        <v>0.44198619428571428</v>
      </c>
      <c r="R9" s="14"/>
      <c r="S9" s="15"/>
      <c r="T9" s="15"/>
    </row>
    <row r="10" spans="1:20" x14ac:dyDescent="0.35">
      <c r="A10" s="5" t="s">
        <v>21</v>
      </c>
      <c r="B10" s="2">
        <v>250</v>
      </c>
      <c r="C10" s="2">
        <v>0.38035999999999998</v>
      </c>
      <c r="D10" s="2">
        <v>5.5247500000000001E-3</v>
      </c>
      <c r="E10" s="2">
        <f t="shared" si="0"/>
        <v>0.38588475</v>
      </c>
      <c r="F10" s="2">
        <f t="shared" si="1"/>
        <v>0.37483524999999995</v>
      </c>
      <c r="G10" s="2">
        <f t="shared" si="2"/>
        <v>4.6368437500000003E-3</v>
      </c>
      <c r="H10" s="2">
        <f t="shared" si="3"/>
        <v>0.38499684374999998</v>
      </c>
      <c r="I10" s="2">
        <f t="shared" si="4"/>
        <v>0.37572315624999997</v>
      </c>
      <c r="J10" s="2">
        <f t="shared" si="5"/>
        <v>7.2611000000000004E-3</v>
      </c>
      <c r="K10" s="2">
        <f t="shared" si="6"/>
        <v>0.3876211</v>
      </c>
      <c r="L10" s="6">
        <f>C10-J10</f>
        <v>0.37309889999999996</v>
      </c>
      <c r="R10" s="14"/>
      <c r="S10" s="15"/>
      <c r="T10" s="15"/>
    </row>
    <row r="11" spans="1:20" x14ac:dyDescent="0.35">
      <c r="A11" s="5" t="s">
        <v>21</v>
      </c>
      <c r="B11" s="2">
        <v>1000</v>
      </c>
      <c r="C11" s="2">
        <v>0.44372</v>
      </c>
      <c r="D11" s="2">
        <v>2.7853800000000001E-3</v>
      </c>
      <c r="E11" s="2">
        <f t="shared" si="0"/>
        <v>0.44650538000000001</v>
      </c>
      <c r="F11" s="2">
        <f t="shared" si="1"/>
        <v>0.44093462</v>
      </c>
      <c r="G11" s="2">
        <f t="shared" si="2"/>
        <v>2.3377296428571431E-3</v>
      </c>
      <c r="H11" s="2">
        <f>C11+G11</f>
        <v>0.44605772964285717</v>
      </c>
      <c r="I11" s="2">
        <f t="shared" si="4"/>
        <v>0.44138227035714284</v>
      </c>
      <c r="J11" s="2">
        <f t="shared" si="5"/>
        <v>3.6607851428571429E-3</v>
      </c>
      <c r="K11" s="2">
        <f t="shared" si="6"/>
        <v>0.44738078514285717</v>
      </c>
      <c r="L11" s="6">
        <f t="shared" si="7"/>
        <v>0.44005921485714283</v>
      </c>
      <c r="R11" s="14"/>
      <c r="S11" s="15"/>
      <c r="T11" s="15"/>
    </row>
    <row r="12" spans="1:20" ht="15" thickBot="1" x14ac:dyDescent="0.4">
      <c r="A12" s="7" t="s">
        <v>21</v>
      </c>
      <c r="B12" s="8">
        <v>4000</v>
      </c>
      <c r="C12" s="8">
        <v>0.44420300000000001</v>
      </c>
      <c r="D12" s="8">
        <v>1.27622E-3</v>
      </c>
      <c r="E12" s="8">
        <f t="shared" si="0"/>
        <v>0.44547922000000001</v>
      </c>
      <c r="F12" s="8">
        <f t="shared" si="1"/>
        <v>0.44292678000000002</v>
      </c>
      <c r="G12" s="8">
        <f t="shared" si="2"/>
        <v>1.0711132142857142E-3</v>
      </c>
      <c r="H12" s="8">
        <f t="shared" si="3"/>
        <v>0.44527411321428573</v>
      </c>
      <c r="I12" s="8">
        <f t="shared" si="4"/>
        <v>0.4431318867857143</v>
      </c>
      <c r="J12" s="8">
        <f t="shared" si="5"/>
        <v>1.6773177142857143E-3</v>
      </c>
      <c r="K12" s="8">
        <f t="shared" si="6"/>
        <v>0.44588031771428571</v>
      </c>
      <c r="L12" s="9">
        <f t="shared" si="7"/>
        <v>0.44252568228571432</v>
      </c>
    </row>
    <row r="13" spans="1:20" ht="15" thickBot="1" x14ac:dyDescent="0.4"/>
    <row r="14" spans="1:20" ht="15" thickBot="1" x14ac:dyDescent="0.4">
      <c r="A14" s="11" t="s">
        <v>9</v>
      </c>
      <c r="B14" s="3"/>
      <c r="C14" s="4"/>
    </row>
    <row r="15" spans="1:20" x14ac:dyDescent="0.35">
      <c r="A15" s="5" t="s">
        <v>7</v>
      </c>
      <c r="B15" s="2">
        <v>5</v>
      </c>
      <c r="C15" s="6"/>
    </row>
    <row r="16" spans="1:20" x14ac:dyDescent="0.35">
      <c r="A16" s="5" t="s">
        <v>8</v>
      </c>
      <c r="B16" s="2">
        <v>5</v>
      </c>
      <c r="C16" s="6"/>
      <c r="F16" s="16" t="s">
        <v>25</v>
      </c>
      <c r="G16" s="16" t="s">
        <v>26</v>
      </c>
    </row>
    <row r="17" spans="1:7" ht="15" thickBot="1" x14ac:dyDescent="0.4">
      <c r="A17" s="5"/>
      <c r="B17" s="2"/>
      <c r="C17" s="6"/>
      <c r="F17" s="17">
        <v>0.9</v>
      </c>
      <c r="G17" s="18">
        <v>1.645</v>
      </c>
    </row>
    <row r="18" spans="1:7" ht="15" thickBot="1" x14ac:dyDescent="0.4">
      <c r="A18" s="12" t="s">
        <v>0</v>
      </c>
      <c r="B18" s="2"/>
      <c r="C18" s="6"/>
      <c r="F18" s="17">
        <v>0.95</v>
      </c>
      <c r="G18" s="18">
        <v>1.96</v>
      </c>
    </row>
    <row r="19" spans="1:7" ht="15" thickBot="1" x14ac:dyDescent="0.4">
      <c r="B19" s="2"/>
      <c r="C19" s="12" t="s">
        <v>18</v>
      </c>
      <c r="F19" s="17">
        <v>0.99</v>
      </c>
      <c r="G19" s="18">
        <v>2.5760000000000001</v>
      </c>
    </row>
    <row r="20" spans="1:7" x14ac:dyDescent="0.35">
      <c r="A20" s="5" t="s">
        <v>1</v>
      </c>
      <c r="B20" s="2">
        <v>0.50180199999999997</v>
      </c>
      <c r="C20" s="6">
        <v>6.2376699999999998E-3</v>
      </c>
    </row>
    <row r="21" spans="1:7" x14ac:dyDescent="0.35">
      <c r="A21" s="5" t="s">
        <v>2</v>
      </c>
      <c r="B21" s="2">
        <v>0.50771999999999995</v>
      </c>
      <c r="C21" s="6">
        <v>6.1290700000000004E-3</v>
      </c>
      <c r="D21" s="1"/>
      <c r="E21" s="1"/>
      <c r="F21" s="1"/>
    </row>
    <row r="22" spans="1:7" x14ac:dyDescent="0.35">
      <c r="A22" s="5" t="s">
        <v>3</v>
      </c>
      <c r="B22" s="2" t="s">
        <v>4</v>
      </c>
      <c r="C22" s="6"/>
    </row>
    <row r="23" spans="1:7" ht="15" thickBot="1" x14ac:dyDescent="0.4">
      <c r="A23" s="7" t="s">
        <v>5</v>
      </c>
      <c r="B23" s="8" t="s">
        <v>6</v>
      </c>
      <c r="C23" s="9"/>
    </row>
    <row r="24" spans="1:7" ht="15" thickBot="1" x14ac:dyDescent="0.4"/>
    <row r="25" spans="1:7" ht="15" thickBot="1" x14ac:dyDescent="0.4">
      <c r="A25" s="10" t="s">
        <v>10</v>
      </c>
      <c r="B25" s="3"/>
      <c r="C25" s="4"/>
    </row>
    <row r="26" spans="1:7" x14ac:dyDescent="0.35">
      <c r="A26" s="5" t="s">
        <v>7</v>
      </c>
      <c r="B26" s="2">
        <v>5</v>
      </c>
      <c r="C26" s="6"/>
    </row>
    <row r="27" spans="1:7" x14ac:dyDescent="0.35">
      <c r="A27" s="5" t="s">
        <v>8</v>
      </c>
      <c r="B27" s="2">
        <v>5</v>
      </c>
      <c r="C27" s="6"/>
    </row>
    <row r="28" spans="1:7" ht="15" thickBot="1" x14ac:dyDescent="0.4">
      <c r="A28" s="5"/>
      <c r="B28" s="2"/>
      <c r="C28" s="6"/>
    </row>
    <row r="29" spans="1:7" ht="15" thickBot="1" x14ac:dyDescent="0.4">
      <c r="A29" s="12" t="s">
        <v>0</v>
      </c>
      <c r="B29" s="2"/>
      <c r="C29" s="6"/>
    </row>
    <row r="30" spans="1:7" ht="15" thickBot="1" x14ac:dyDescent="0.4">
      <c r="B30" s="2"/>
      <c r="C30" s="12" t="s">
        <v>18</v>
      </c>
    </row>
    <row r="31" spans="1:7" x14ac:dyDescent="0.35">
      <c r="A31" s="5" t="s">
        <v>1</v>
      </c>
      <c r="B31" s="2">
        <v>0.50042799999999998</v>
      </c>
      <c r="C31" s="6">
        <v>3.4095800000000002E-3</v>
      </c>
    </row>
    <row r="32" spans="1:7" x14ac:dyDescent="0.35">
      <c r="A32" s="5" t="s">
        <v>2</v>
      </c>
      <c r="B32" s="2">
        <v>0.49985000000000002</v>
      </c>
      <c r="C32" s="6">
        <v>3.1518399999999999E-3</v>
      </c>
    </row>
    <row r="33" spans="1:3" x14ac:dyDescent="0.35">
      <c r="A33" s="5" t="s">
        <v>3</v>
      </c>
      <c r="B33" s="2" t="s">
        <v>4</v>
      </c>
      <c r="C33" s="6"/>
    </row>
    <row r="34" spans="1:3" ht="15" thickBot="1" x14ac:dyDescent="0.4">
      <c r="A34" s="7" t="s">
        <v>5</v>
      </c>
      <c r="B34" s="8" t="s">
        <v>6</v>
      </c>
      <c r="C34" s="9"/>
    </row>
    <row r="35" spans="1:3" ht="15" thickBot="1" x14ac:dyDescent="0.4"/>
    <row r="36" spans="1:3" ht="15" thickBot="1" x14ac:dyDescent="0.4">
      <c r="A36" s="10" t="s">
        <v>11</v>
      </c>
      <c r="B36" s="3"/>
      <c r="C36" s="4"/>
    </row>
    <row r="37" spans="1:3" x14ac:dyDescent="0.35">
      <c r="A37" s="5" t="s">
        <v>7</v>
      </c>
      <c r="B37" s="2">
        <v>5</v>
      </c>
      <c r="C37" s="6"/>
    </row>
    <row r="38" spans="1:3" x14ac:dyDescent="0.35">
      <c r="A38" s="5" t="s">
        <v>8</v>
      </c>
      <c r="B38" s="2">
        <v>5</v>
      </c>
      <c r="C38" s="6"/>
    </row>
    <row r="39" spans="1:3" ht="15" thickBot="1" x14ac:dyDescent="0.4">
      <c r="A39" s="5"/>
      <c r="B39" s="2"/>
      <c r="C39" s="6"/>
    </row>
    <row r="40" spans="1:3" ht="15" thickBot="1" x14ac:dyDescent="0.4">
      <c r="A40" s="12" t="s">
        <v>0</v>
      </c>
      <c r="B40" s="2"/>
      <c r="C40" s="6"/>
    </row>
    <row r="41" spans="1:3" ht="15" thickBot="1" x14ac:dyDescent="0.4">
      <c r="B41" s="2"/>
      <c r="C41" s="12" t="s">
        <v>18</v>
      </c>
    </row>
    <row r="42" spans="1:3" x14ac:dyDescent="0.35">
      <c r="A42" s="5" t="s">
        <v>1</v>
      </c>
      <c r="B42" s="2">
        <v>0.49949199999999999</v>
      </c>
      <c r="C42" s="6">
        <v>1.6621699999999999E-3</v>
      </c>
    </row>
    <row r="43" spans="1:3" x14ac:dyDescent="0.35">
      <c r="A43" s="5" t="s">
        <v>2</v>
      </c>
      <c r="B43" s="2">
        <v>0.50001799999999996</v>
      </c>
      <c r="C43" s="6">
        <v>1.6609400000000001E-3</v>
      </c>
    </row>
    <row r="44" spans="1:3" x14ac:dyDescent="0.35">
      <c r="A44" s="5" t="s">
        <v>3</v>
      </c>
      <c r="B44" s="2" t="s">
        <v>4</v>
      </c>
      <c r="C44" s="6"/>
    </row>
    <row r="45" spans="1:3" ht="15" thickBot="1" x14ac:dyDescent="0.4">
      <c r="A45" s="7" t="s">
        <v>5</v>
      </c>
      <c r="B45" s="8" t="s">
        <v>6</v>
      </c>
      <c r="C45" s="9"/>
    </row>
    <row r="49" spans="1:3" ht="15" thickBot="1" x14ac:dyDescent="0.4"/>
    <row r="50" spans="1:3" ht="15" thickBot="1" x14ac:dyDescent="0.4">
      <c r="A50" s="11" t="s">
        <v>12</v>
      </c>
      <c r="B50" s="3"/>
      <c r="C50" s="4"/>
    </row>
    <row r="51" spans="1:3" x14ac:dyDescent="0.35">
      <c r="A51" s="5" t="s">
        <v>7</v>
      </c>
      <c r="B51" s="2">
        <v>5</v>
      </c>
      <c r="C51" s="6"/>
    </row>
    <row r="52" spans="1:3" x14ac:dyDescent="0.35">
      <c r="A52" s="5" t="s">
        <v>8</v>
      </c>
      <c r="B52" s="2">
        <v>4</v>
      </c>
      <c r="C52" s="6"/>
    </row>
    <row r="53" spans="1:3" ht="15" thickBot="1" x14ac:dyDescent="0.4">
      <c r="A53" s="5"/>
      <c r="B53" s="2"/>
      <c r="C53" s="6"/>
    </row>
    <row r="54" spans="1:3" ht="15" thickBot="1" x14ac:dyDescent="0.4">
      <c r="A54" s="12" t="s">
        <v>0</v>
      </c>
      <c r="B54" s="2"/>
      <c r="C54" s="6"/>
    </row>
    <row r="55" spans="1:3" ht="15" thickBot="1" x14ac:dyDescent="0.4">
      <c r="B55" s="2"/>
      <c r="C55" s="12" t="s">
        <v>18</v>
      </c>
    </row>
    <row r="56" spans="1:3" x14ac:dyDescent="0.35">
      <c r="A56" s="5" t="s">
        <v>1</v>
      </c>
      <c r="B56" s="2">
        <v>0.448515</v>
      </c>
      <c r="C56" s="6">
        <v>5.4372200000000004E-3</v>
      </c>
    </row>
    <row r="57" spans="1:3" x14ac:dyDescent="0.35">
      <c r="A57" s="5" t="s">
        <v>2</v>
      </c>
      <c r="B57" s="2">
        <v>0.45363999999999999</v>
      </c>
      <c r="C57" s="6">
        <v>6.0626999999999999E-3</v>
      </c>
    </row>
    <row r="58" spans="1:3" x14ac:dyDescent="0.35">
      <c r="A58" s="5" t="s">
        <v>3</v>
      </c>
      <c r="B58" s="2" t="s">
        <v>4</v>
      </c>
      <c r="C58" s="6"/>
    </row>
    <row r="59" spans="1:3" ht="15" thickBot="1" x14ac:dyDescent="0.4">
      <c r="A59" s="7" t="s">
        <v>5</v>
      </c>
      <c r="B59" s="8" t="s">
        <v>6</v>
      </c>
      <c r="C59" s="9"/>
    </row>
    <row r="60" spans="1:3" ht="15" thickBot="1" x14ac:dyDescent="0.4"/>
    <row r="61" spans="1:3" ht="15" thickBot="1" x14ac:dyDescent="0.4">
      <c r="A61" s="11" t="s">
        <v>13</v>
      </c>
      <c r="B61" s="3"/>
      <c r="C61" s="4"/>
    </row>
    <row r="62" spans="1:3" x14ac:dyDescent="0.35">
      <c r="A62" s="5" t="s">
        <v>7</v>
      </c>
      <c r="B62" s="2">
        <v>5</v>
      </c>
      <c r="C62" s="6"/>
    </row>
    <row r="63" spans="1:3" x14ac:dyDescent="0.35">
      <c r="A63" s="5" t="s">
        <v>8</v>
      </c>
      <c r="B63" s="2">
        <v>4</v>
      </c>
      <c r="C63" s="6"/>
    </row>
    <row r="64" spans="1:3" ht="15" thickBot="1" x14ac:dyDescent="0.4">
      <c r="A64" s="5"/>
      <c r="B64" s="2"/>
      <c r="C64" s="6"/>
    </row>
    <row r="65" spans="1:3" ht="15" thickBot="1" x14ac:dyDescent="0.4">
      <c r="A65" s="12" t="s">
        <v>0</v>
      </c>
      <c r="B65" s="2"/>
      <c r="C65" s="6"/>
    </row>
    <row r="66" spans="1:3" ht="15" thickBot="1" x14ac:dyDescent="0.4">
      <c r="B66" s="2"/>
      <c r="C66" s="12" t="s">
        <v>18</v>
      </c>
    </row>
    <row r="67" spans="1:3" x14ac:dyDescent="0.35">
      <c r="A67" s="5" t="s">
        <v>1</v>
      </c>
      <c r="B67" s="2">
        <v>0.44463000000000003</v>
      </c>
      <c r="C67" s="6">
        <v>3.1765399999999998E-3</v>
      </c>
    </row>
    <row r="68" spans="1:3" x14ac:dyDescent="0.35">
      <c r="A68" s="5" t="s">
        <v>2</v>
      </c>
      <c r="B68" s="2">
        <v>0.44372</v>
      </c>
      <c r="C68" s="6">
        <v>3.4755900000000002E-3</v>
      </c>
    </row>
    <row r="69" spans="1:3" x14ac:dyDescent="0.35">
      <c r="A69" s="5" t="s">
        <v>3</v>
      </c>
      <c r="B69" s="2" t="s">
        <v>4</v>
      </c>
      <c r="C69" s="6"/>
    </row>
    <row r="70" spans="1:3" ht="15" thickBot="1" x14ac:dyDescent="0.4">
      <c r="A70" s="7" t="s">
        <v>5</v>
      </c>
      <c r="B70" s="8" t="s">
        <v>6</v>
      </c>
      <c r="C70" s="9"/>
    </row>
    <row r="71" spans="1:3" ht="15" thickBot="1" x14ac:dyDescent="0.4"/>
    <row r="72" spans="1:3" ht="15" thickBot="1" x14ac:dyDescent="0.4">
      <c r="A72" s="11" t="s">
        <v>14</v>
      </c>
      <c r="B72" s="3"/>
      <c r="C72" s="4"/>
    </row>
    <row r="73" spans="1:3" x14ac:dyDescent="0.35">
      <c r="A73" s="5" t="s">
        <v>7</v>
      </c>
      <c r="B73" s="2">
        <v>5</v>
      </c>
      <c r="C73" s="6"/>
    </row>
    <row r="74" spans="1:3" x14ac:dyDescent="0.35">
      <c r="A74" s="5" t="s">
        <v>8</v>
      </c>
      <c r="B74" s="2">
        <v>4</v>
      </c>
      <c r="C74" s="6"/>
    </row>
    <row r="75" spans="1:3" ht="15" thickBot="1" x14ac:dyDescent="0.4">
      <c r="A75" s="5"/>
      <c r="B75" s="2"/>
      <c r="C75" s="6"/>
    </row>
    <row r="76" spans="1:3" ht="15" thickBot="1" x14ac:dyDescent="0.4">
      <c r="A76" s="12" t="s">
        <v>0</v>
      </c>
      <c r="B76" s="2"/>
      <c r="C76" s="6"/>
    </row>
    <row r="77" spans="1:3" ht="15" thickBot="1" x14ac:dyDescent="0.4">
      <c r="B77" s="2"/>
      <c r="C77" s="12" t="s">
        <v>18</v>
      </c>
    </row>
    <row r="78" spans="1:3" x14ac:dyDescent="0.35">
      <c r="A78" s="5" t="s">
        <v>1</v>
      </c>
      <c r="B78" s="2">
        <v>0.44386700000000001</v>
      </c>
      <c r="C78" s="6">
        <v>1.5517E-3</v>
      </c>
    </row>
    <row r="79" spans="1:3" x14ac:dyDescent="0.35">
      <c r="A79" s="5" t="s">
        <v>2</v>
      </c>
      <c r="B79" s="2">
        <v>0.44420300000000001</v>
      </c>
      <c r="C79" s="6">
        <v>1.6867E-3</v>
      </c>
    </row>
    <row r="80" spans="1:3" x14ac:dyDescent="0.35">
      <c r="A80" s="5" t="s">
        <v>3</v>
      </c>
      <c r="B80" s="2" t="s">
        <v>4</v>
      </c>
      <c r="C80" s="6"/>
    </row>
    <row r="81" spans="1:3" ht="15" thickBot="1" x14ac:dyDescent="0.4">
      <c r="A81" s="7" t="s">
        <v>5</v>
      </c>
      <c r="B81" s="8" t="s">
        <v>6</v>
      </c>
      <c r="C81" s="9"/>
    </row>
    <row r="85" spans="1:3" ht="15" thickBot="1" x14ac:dyDescent="0.4"/>
    <row r="86" spans="1:3" ht="15" thickBot="1" x14ac:dyDescent="0.4">
      <c r="A86" s="11" t="s">
        <v>15</v>
      </c>
      <c r="B86" s="3"/>
      <c r="C86" s="4"/>
    </row>
    <row r="87" spans="1:3" x14ac:dyDescent="0.35">
      <c r="A87" s="5" t="s">
        <v>7</v>
      </c>
      <c r="B87" s="2">
        <v>5</v>
      </c>
      <c r="C87" s="6"/>
    </row>
    <row r="88" spans="1:3" x14ac:dyDescent="0.35">
      <c r="A88" s="5" t="s">
        <v>8</v>
      </c>
      <c r="B88" s="2">
        <v>3</v>
      </c>
      <c r="C88" s="6"/>
    </row>
    <row r="89" spans="1:3" ht="15" thickBot="1" x14ac:dyDescent="0.4">
      <c r="A89" s="5"/>
      <c r="B89" s="2"/>
      <c r="C89" s="6"/>
    </row>
    <row r="90" spans="1:3" ht="15" thickBot="1" x14ac:dyDescent="0.4">
      <c r="A90" s="12" t="s">
        <v>0</v>
      </c>
      <c r="B90" s="2"/>
      <c r="C90" s="6"/>
    </row>
    <row r="91" spans="1:3" ht="15" thickBot="1" x14ac:dyDescent="0.4">
      <c r="A91" s="5"/>
      <c r="B91" s="2"/>
      <c r="C91" s="12" t="s">
        <v>18</v>
      </c>
    </row>
    <row r="92" spans="1:3" x14ac:dyDescent="0.35">
      <c r="A92" s="5" t="s">
        <v>1</v>
      </c>
      <c r="B92" s="2">
        <v>0.37956299999999998</v>
      </c>
      <c r="C92" s="6">
        <v>5.56435E-3</v>
      </c>
    </row>
    <row r="93" spans="1:3" x14ac:dyDescent="0.35">
      <c r="A93" s="5" t="s">
        <v>2</v>
      </c>
      <c r="B93" s="2">
        <v>0.38035999999999998</v>
      </c>
      <c r="C93" s="6">
        <v>5.5247500000000001E-3</v>
      </c>
    </row>
    <row r="94" spans="1:3" x14ac:dyDescent="0.35">
      <c r="A94" s="5" t="s">
        <v>3</v>
      </c>
      <c r="B94" s="2" t="s">
        <v>4</v>
      </c>
      <c r="C94" s="6"/>
    </row>
    <row r="95" spans="1:3" ht="15" thickBot="1" x14ac:dyDescent="0.4">
      <c r="A95" s="7" t="s">
        <v>5</v>
      </c>
      <c r="B95" s="8" t="s">
        <v>6</v>
      </c>
      <c r="C95" s="9"/>
    </row>
    <row r="96" spans="1:3" ht="15" thickBot="1" x14ac:dyDescent="0.4"/>
    <row r="97" spans="1:3" ht="15" thickBot="1" x14ac:dyDescent="0.4">
      <c r="A97" s="11" t="s">
        <v>16</v>
      </c>
      <c r="B97" s="3"/>
      <c r="C97" s="4"/>
    </row>
    <row r="98" spans="1:3" x14ac:dyDescent="0.35">
      <c r="A98" s="5" t="s">
        <v>7</v>
      </c>
      <c r="B98" s="2">
        <v>5</v>
      </c>
      <c r="C98" s="6"/>
    </row>
    <row r="99" spans="1:3" x14ac:dyDescent="0.35">
      <c r="A99" s="5" t="s">
        <v>8</v>
      </c>
      <c r="B99" s="2">
        <v>3</v>
      </c>
      <c r="C99" s="6"/>
    </row>
    <row r="100" spans="1:3" ht="15" thickBot="1" x14ac:dyDescent="0.4">
      <c r="A100" s="5"/>
      <c r="B100" s="2"/>
      <c r="C100" s="6"/>
    </row>
    <row r="101" spans="1:3" ht="15" thickBot="1" x14ac:dyDescent="0.4">
      <c r="A101" s="12" t="s">
        <v>0</v>
      </c>
      <c r="B101" s="2"/>
      <c r="C101" s="6"/>
    </row>
    <row r="102" spans="1:3" ht="15" thickBot="1" x14ac:dyDescent="0.4">
      <c r="B102" s="2"/>
      <c r="C102" s="12" t="s">
        <v>18</v>
      </c>
    </row>
    <row r="103" spans="1:3" x14ac:dyDescent="0.35">
      <c r="A103" s="5" t="s">
        <v>1</v>
      </c>
      <c r="B103" s="2">
        <v>0.376442</v>
      </c>
      <c r="C103" s="6">
        <v>2.5812299999999999E-3</v>
      </c>
    </row>
    <row r="104" spans="1:3" x14ac:dyDescent="0.35">
      <c r="A104" s="5" t="s">
        <v>2</v>
      </c>
      <c r="B104" s="2">
        <v>0.37406</v>
      </c>
      <c r="C104" s="6">
        <v>2.7853800000000001E-3</v>
      </c>
    </row>
    <row r="105" spans="1:3" x14ac:dyDescent="0.35">
      <c r="A105" s="5" t="s">
        <v>3</v>
      </c>
      <c r="B105" s="2" t="s">
        <v>4</v>
      </c>
      <c r="C105" s="6"/>
    </row>
    <row r="106" spans="1:3" ht="15" thickBot="1" x14ac:dyDescent="0.4">
      <c r="A106" s="7" t="s">
        <v>5</v>
      </c>
      <c r="B106" s="8" t="s">
        <v>6</v>
      </c>
      <c r="C106" s="9"/>
    </row>
    <row r="107" spans="1:3" ht="15" thickBot="1" x14ac:dyDescent="0.4"/>
    <row r="108" spans="1:3" ht="15" thickBot="1" x14ac:dyDescent="0.4">
      <c r="A108" s="11" t="s">
        <v>17</v>
      </c>
      <c r="B108" s="3"/>
      <c r="C108" s="4"/>
    </row>
    <row r="109" spans="1:3" x14ac:dyDescent="0.35">
      <c r="A109" s="5" t="s">
        <v>7</v>
      </c>
      <c r="B109" s="2">
        <v>5</v>
      </c>
      <c r="C109" s="6"/>
    </row>
    <row r="110" spans="1:3" x14ac:dyDescent="0.35">
      <c r="A110" s="5" t="s">
        <v>8</v>
      </c>
      <c r="B110" s="2">
        <v>3</v>
      </c>
      <c r="C110" s="6"/>
    </row>
    <row r="111" spans="1:3" ht="15" thickBot="1" x14ac:dyDescent="0.4">
      <c r="A111" s="5"/>
      <c r="B111" s="2"/>
      <c r="C111" s="6"/>
    </row>
    <row r="112" spans="1:3" ht="15" thickBot="1" x14ac:dyDescent="0.4">
      <c r="A112" s="12" t="s">
        <v>0</v>
      </c>
      <c r="B112" s="2"/>
      <c r="C112" s="6"/>
    </row>
    <row r="113" spans="1:3" ht="15" thickBot="1" x14ac:dyDescent="0.4">
      <c r="B113" s="2"/>
      <c r="C113" s="12" t="s">
        <v>18</v>
      </c>
    </row>
    <row r="114" spans="1:3" x14ac:dyDescent="0.35">
      <c r="A114" s="5" t="s">
        <v>1</v>
      </c>
      <c r="B114" s="2">
        <v>0.375191</v>
      </c>
      <c r="C114" s="6">
        <v>1.20516E-3</v>
      </c>
    </row>
    <row r="115" spans="1:3" x14ac:dyDescent="0.35">
      <c r="A115" s="5" t="s">
        <v>2</v>
      </c>
      <c r="B115" s="2">
        <v>0.37524000000000002</v>
      </c>
      <c r="C115" s="6">
        <v>1.27622E-3</v>
      </c>
    </row>
    <row r="116" spans="1:3" x14ac:dyDescent="0.35">
      <c r="A116" s="5" t="s">
        <v>3</v>
      </c>
      <c r="B116" s="2" t="s">
        <v>4</v>
      </c>
      <c r="C116" s="6"/>
    </row>
    <row r="117" spans="1:3" ht="15" thickBot="1" x14ac:dyDescent="0.4">
      <c r="A117" s="7" t="s">
        <v>5</v>
      </c>
      <c r="B117" s="8" t="s">
        <v>6</v>
      </c>
      <c r="C117" s="9"/>
    </row>
    <row r="123" spans="1:3" ht="15" thickBot="1" x14ac:dyDescent="0.4">
      <c r="A123" t="s">
        <v>38</v>
      </c>
    </row>
    <row r="124" spans="1:3" ht="15" thickBot="1" x14ac:dyDescent="0.4">
      <c r="A124" s="19" t="s">
        <v>37</v>
      </c>
      <c r="B124" s="20"/>
      <c r="C124" s="21"/>
    </row>
    <row r="125" spans="1:3" x14ac:dyDescent="0.35">
      <c r="A125" s="22" t="s">
        <v>7</v>
      </c>
      <c r="B125" s="25">
        <v>5</v>
      </c>
      <c r="C125" s="23"/>
    </row>
    <row r="126" spans="1:3" x14ac:dyDescent="0.35">
      <c r="A126" s="22" t="s">
        <v>8</v>
      </c>
      <c r="B126" s="25">
        <v>5</v>
      </c>
      <c r="C126" s="23"/>
    </row>
    <row r="127" spans="1:3" ht="15" thickBot="1" x14ac:dyDescent="0.4">
      <c r="A127" s="22"/>
      <c r="B127" s="25"/>
      <c r="C127" s="23"/>
    </row>
    <row r="128" spans="1:3" ht="15" thickBot="1" x14ac:dyDescent="0.4">
      <c r="A128" s="24" t="s">
        <v>0</v>
      </c>
      <c r="B128" s="25"/>
      <c r="C128" s="23"/>
    </row>
    <row r="129" spans="1:3" ht="15" thickBot="1" x14ac:dyDescent="0.4">
      <c r="A129" s="22"/>
      <c r="B129" s="25"/>
      <c r="C129" s="24" t="s">
        <v>18</v>
      </c>
    </row>
    <row r="130" spans="1:3" x14ac:dyDescent="0.35">
      <c r="A130" t="s">
        <v>1</v>
      </c>
      <c r="B130">
        <v>0.49978400000000001</v>
      </c>
      <c r="C130" s="6">
        <v>1.63361E-3</v>
      </c>
    </row>
    <row r="131" spans="1:3" x14ac:dyDescent="0.35">
      <c r="A131" t="s">
        <v>2</v>
      </c>
      <c r="B131">
        <v>0.50008300000000006</v>
      </c>
      <c r="C131" s="6">
        <v>1.57311E-3</v>
      </c>
    </row>
    <row r="132" spans="1:3" x14ac:dyDescent="0.35">
      <c r="A132" t="s">
        <v>36</v>
      </c>
      <c r="B132" t="s">
        <v>4</v>
      </c>
      <c r="C132" s="6"/>
    </row>
    <row r="133" spans="1:3" ht="15" thickBot="1" x14ac:dyDescent="0.4">
      <c r="A133" s="8" t="s">
        <v>5</v>
      </c>
      <c r="B133" s="8" t="s">
        <v>6</v>
      </c>
      <c r="C133" s="9"/>
    </row>
    <row r="135" spans="1:3" ht="15" thickBot="1" x14ac:dyDescent="0.4"/>
    <row r="136" spans="1:3" ht="15" thickBot="1" x14ac:dyDescent="0.4">
      <c r="A136" s="19" t="s">
        <v>39</v>
      </c>
      <c r="B136" s="20"/>
      <c r="C136" s="21"/>
    </row>
    <row r="137" spans="1:3" x14ac:dyDescent="0.35">
      <c r="A137" s="22" t="s">
        <v>7</v>
      </c>
      <c r="B137" s="25">
        <v>5</v>
      </c>
      <c r="C137" s="23"/>
    </row>
    <row r="138" spans="1:3" x14ac:dyDescent="0.35">
      <c r="A138" s="22" t="s">
        <v>8</v>
      </c>
      <c r="B138" s="25">
        <v>4</v>
      </c>
      <c r="C138" s="23"/>
    </row>
    <row r="139" spans="1:3" ht="15" thickBot="1" x14ac:dyDescent="0.4">
      <c r="A139" s="22"/>
      <c r="B139" s="25"/>
      <c r="C139" s="23"/>
    </row>
    <row r="140" spans="1:3" ht="15" thickBot="1" x14ac:dyDescent="0.4">
      <c r="A140" s="24" t="s">
        <v>0</v>
      </c>
      <c r="B140" s="25"/>
      <c r="C140" s="23"/>
    </row>
    <row r="141" spans="1:3" ht="15" thickBot="1" x14ac:dyDescent="0.4">
      <c r="A141" s="5"/>
      <c r="B141" s="2"/>
      <c r="C141" s="24" t="s">
        <v>18</v>
      </c>
    </row>
    <row r="142" spans="1:3" x14ac:dyDescent="0.35">
      <c r="A142" s="5" t="s">
        <v>1</v>
      </c>
      <c r="B142" s="2">
        <v>0.44423200000000002</v>
      </c>
      <c r="C142" s="6">
        <v>1.50998E-3</v>
      </c>
    </row>
    <row r="143" spans="1:3" x14ac:dyDescent="0.35">
      <c r="A143" s="5" t="s">
        <v>2</v>
      </c>
      <c r="B143" s="2">
        <v>0.44448199999999999</v>
      </c>
      <c r="C143" s="6">
        <v>1.5448E-3</v>
      </c>
    </row>
    <row r="144" spans="1:3" x14ac:dyDescent="0.35">
      <c r="A144" s="5" t="s">
        <v>36</v>
      </c>
      <c r="B144" s="2" t="s">
        <v>4</v>
      </c>
      <c r="C144" s="6"/>
    </row>
    <row r="145" spans="1:3" ht="15" thickBot="1" x14ac:dyDescent="0.4">
      <c r="A145" s="7" t="s">
        <v>5</v>
      </c>
      <c r="B145" s="8" t="s">
        <v>6</v>
      </c>
      <c r="C145" s="9"/>
    </row>
    <row r="147" spans="1:3" ht="15" thickBot="1" x14ac:dyDescent="0.4"/>
    <row r="148" spans="1:3" ht="15" thickBot="1" x14ac:dyDescent="0.4">
      <c r="A148" s="19" t="s">
        <v>40</v>
      </c>
      <c r="B148" s="20"/>
      <c r="C148" s="21"/>
    </row>
    <row r="149" spans="1:3" x14ac:dyDescent="0.35">
      <c r="A149" s="22" t="s">
        <v>7</v>
      </c>
      <c r="B149" s="25">
        <v>5</v>
      </c>
      <c r="C149" s="23"/>
    </row>
    <row r="150" spans="1:3" x14ac:dyDescent="0.35">
      <c r="A150" s="22" t="s">
        <v>8</v>
      </c>
      <c r="B150" s="25">
        <v>3</v>
      </c>
      <c r="C150" s="23"/>
    </row>
    <row r="151" spans="1:3" ht="15" thickBot="1" x14ac:dyDescent="0.4">
      <c r="A151" s="22"/>
      <c r="B151" s="25"/>
      <c r="C151" s="23"/>
    </row>
    <row r="152" spans="1:3" ht="15" thickBot="1" x14ac:dyDescent="0.4">
      <c r="A152" s="24" t="s">
        <v>0</v>
      </c>
      <c r="B152" s="25"/>
      <c r="C152" s="23"/>
    </row>
    <row r="153" spans="1:3" ht="15" thickBot="1" x14ac:dyDescent="0.4">
      <c r="A153" s="5"/>
      <c r="B153" s="2"/>
      <c r="C153" s="24" t="s">
        <v>18</v>
      </c>
    </row>
    <row r="154" spans="1:3" x14ac:dyDescent="0.35">
      <c r="A154" s="5" t="s">
        <v>1</v>
      </c>
      <c r="B154" s="2">
        <v>0.37545200000000001</v>
      </c>
      <c r="C154" s="6">
        <v>1.23733E-3</v>
      </c>
    </row>
    <row r="155" spans="1:3" x14ac:dyDescent="0.35">
      <c r="A155" s="5" t="s">
        <v>2</v>
      </c>
      <c r="B155" s="2">
        <v>0.37529200000000001</v>
      </c>
      <c r="C155" s="6">
        <v>1.4509799999999999E-3</v>
      </c>
    </row>
    <row r="156" spans="1:3" x14ac:dyDescent="0.35">
      <c r="A156" s="5" t="s">
        <v>36</v>
      </c>
      <c r="B156" s="2" t="s">
        <v>4</v>
      </c>
      <c r="C156" s="6"/>
    </row>
    <row r="157" spans="1:3" ht="15" thickBot="1" x14ac:dyDescent="0.4">
      <c r="A157" s="7" t="s">
        <v>5</v>
      </c>
      <c r="B157" s="8" t="s">
        <v>6</v>
      </c>
      <c r="C15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Sakina Rizavi</cp:lastModifiedBy>
  <dcterms:created xsi:type="dcterms:W3CDTF">2015-06-05T18:17:20Z</dcterms:created>
  <dcterms:modified xsi:type="dcterms:W3CDTF">2025-12-10T18:37:38Z</dcterms:modified>
</cp:coreProperties>
</file>