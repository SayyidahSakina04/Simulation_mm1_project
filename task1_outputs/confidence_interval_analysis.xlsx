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PUCIT\Semester_7\SIM_MOD\Simulation_Project\task1_outputs\"/>
    </mc:Choice>
  </mc:AlternateContent>
  <xr:revisionPtr revIDLastSave="0" documentId="13_ncr:1_{CCC5DF9E-0904-49EC-B843-499A308D16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1" i="1" l="1"/>
  <c r="L62" i="1"/>
  <c r="L60" i="1"/>
  <c r="M61" i="1"/>
  <c r="M62" i="1"/>
  <c r="M60" i="1"/>
  <c r="E61" i="1"/>
  <c r="E60" i="1" l="1"/>
  <c r="E62" i="1"/>
  <c r="D62" i="1"/>
  <c r="D61" i="1"/>
  <c r="D60" i="1"/>
  <c r="F49" i="1" l="1"/>
  <c r="F42" i="1"/>
  <c r="E42" i="1" s="1"/>
  <c r="F43" i="1"/>
  <c r="D43" i="1" s="1"/>
  <c r="F44" i="1"/>
  <c r="E44" i="1" s="1"/>
  <c r="F45" i="1"/>
  <c r="E45" i="1" s="1"/>
  <c r="F46" i="1"/>
  <c r="E46" i="1" s="1"/>
  <c r="F47" i="1"/>
  <c r="E47" i="1" s="1"/>
  <c r="F48" i="1"/>
  <c r="D48" i="1" s="1"/>
  <c r="E49" i="1"/>
  <c r="F41" i="1"/>
  <c r="D41" i="1" s="1"/>
  <c r="J2" i="1"/>
  <c r="L2" i="1" s="1"/>
  <c r="D47" i="1"/>
  <c r="D44" i="1"/>
  <c r="E43" i="1"/>
  <c r="E30" i="1"/>
  <c r="D28" i="1"/>
  <c r="E36" i="1"/>
  <c r="D36" i="1"/>
  <c r="E35" i="1"/>
  <c r="D35" i="1"/>
  <c r="D34" i="1"/>
  <c r="E34" i="1"/>
  <c r="E33" i="1"/>
  <c r="D33" i="1"/>
  <c r="E32" i="1"/>
  <c r="D32" i="1"/>
  <c r="E31" i="1"/>
  <c r="E29" i="1"/>
  <c r="D29" i="1"/>
  <c r="E28" i="1"/>
  <c r="E17" i="1"/>
  <c r="D17" i="1"/>
  <c r="F16" i="1"/>
  <c r="E16" i="1" s="1"/>
  <c r="F17" i="1"/>
  <c r="F18" i="1"/>
  <c r="E18" i="1" s="1"/>
  <c r="F19" i="1"/>
  <c r="E19" i="1" s="1"/>
  <c r="F20" i="1"/>
  <c r="E20" i="1" s="1"/>
  <c r="F21" i="1"/>
  <c r="D21" i="1" s="1"/>
  <c r="F22" i="1"/>
  <c r="E22" i="1" s="1"/>
  <c r="F23" i="1"/>
  <c r="D23" i="1" s="1"/>
  <c r="F15" i="1"/>
  <c r="E15" i="1" s="1"/>
  <c r="J10" i="1"/>
  <c r="K10" i="1" s="1"/>
  <c r="G10" i="1"/>
  <c r="I10" i="1" s="1"/>
  <c r="F10" i="1"/>
  <c r="E10" i="1"/>
  <c r="J9" i="1"/>
  <c r="L9" i="1" s="1"/>
  <c r="G9" i="1"/>
  <c r="I9" i="1" s="1"/>
  <c r="F9" i="1"/>
  <c r="E9" i="1"/>
  <c r="J8" i="1"/>
  <c r="L8" i="1" s="1"/>
  <c r="I8" i="1"/>
  <c r="H8" i="1"/>
  <c r="G8" i="1"/>
  <c r="F8" i="1"/>
  <c r="E8" i="1"/>
  <c r="J7" i="1"/>
  <c r="L7" i="1" s="1"/>
  <c r="G7" i="1"/>
  <c r="I7" i="1" s="1"/>
  <c r="F7" i="1"/>
  <c r="E7" i="1"/>
  <c r="J6" i="1"/>
  <c r="L6" i="1" s="1"/>
  <c r="G6" i="1"/>
  <c r="H6" i="1" s="1"/>
  <c r="F6" i="1"/>
  <c r="E6" i="1"/>
  <c r="J5" i="1"/>
  <c r="L5" i="1" s="1"/>
  <c r="G5" i="1"/>
  <c r="I5" i="1" s="1"/>
  <c r="F5" i="1"/>
  <c r="E5" i="1"/>
  <c r="J4" i="1"/>
  <c r="L4" i="1" s="1"/>
  <c r="G4" i="1"/>
  <c r="H4" i="1" s="1"/>
  <c r="F4" i="1"/>
  <c r="E4" i="1"/>
  <c r="J3" i="1"/>
  <c r="K3" i="1" s="1"/>
  <c r="G3" i="1"/>
  <c r="I3" i="1" s="1"/>
  <c r="F3" i="1"/>
  <c r="E3" i="1"/>
  <c r="G2" i="1"/>
  <c r="I2" i="1" s="1"/>
  <c r="F2" i="1"/>
  <c r="E2" i="1"/>
  <c r="D15" i="1" l="1"/>
  <c r="I4" i="1"/>
  <c r="H9" i="1"/>
  <c r="D16" i="1"/>
  <c r="H5" i="1"/>
  <c r="E48" i="1"/>
  <c r="H7" i="1"/>
  <c r="E21" i="1"/>
  <c r="H3" i="1"/>
  <c r="E23" i="1"/>
  <c r="D22" i="1"/>
  <c r="H10" i="1"/>
  <c r="H2" i="1"/>
  <c r="I6" i="1"/>
  <c r="D20" i="1"/>
  <c r="D19" i="1"/>
  <c r="D45" i="1"/>
  <c r="D18" i="1"/>
  <c r="D42" i="1"/>
  <c r="D46" i="1"/>
  <c r="D49" i="1"/>
  <c r="E41" i="1"/>
  <c r="D30" i="1"/>
  <c r="D31" i="1"/>
  <c r="L10" i="1"/>
  <c r="K2" i="1"/>
  <c r="K4" i="1"/>
  <c r="K6" i="1"/>
  <c r="K8" i="1"/>
  <c r="K9" i="1"/>
  <c r="L3" i="1"/>
  <c r="K5" i="1"/>
  <c r="K7" i="1"/>
</calcChain>
</file>

<file path=xl/sharedStrings.xml><?xml version="1.0" encoding="utf-8"?>
<sst xmlns="http://schemas.openxmlformats.org/spreadsheetml/2006/main" count="89" uniqueCount="29">
  <si>
    <t>Part</t>
  </si>
  <si>
    <t>Arrivals/ batch (k)</t>
  </si>
  <si>
    <t>Mean (X bar)</t>
  </si>
  <si>
    <t>HALF SIZE: 95% CI</t>
  </si>
  <si>
    <t>Upper - 95</t>
  </si>
  <si>
    <t>Lower - 95</t>
  </si>
  <si>
    <t>HALF SIZE: 90% CI</t>
  </si>
  <si>
    <t>Upper - 90</t>
  </si>
  <si>
    <t>Lower - 90</t>
  </si>
  <si>
    <t>HALF SIZE: 99% CI</t>
  </si>
  <si>
    <t>Upper - 99</t>
  </si>
  <si>
    <t>Lower - 99</t>
  </si>
  <si>
    <t>a</t>
  </si>
  <si>
    <t>Confidence</t>
  </si>
  <si>
    <t>z-value</t>
  </si>
  <si>
    <t>b</t>
  </si>
  <si>
    <t>c</t>
  </si>
  <si>
    <t>LB-90</t>
  </si>
  <si>
    <t>UB-90</t>
  </si>
  <si>
    <t>LB-95</t>
  </si>
  <si>
    <t>UB-95</t>
  </si>
  <si>
    <t>UB-99</t>
  </si>
  <si>
    <t>LB-99</t>
  </si>
  <si>
    <t>Batch size</t>
  </si>
  <si>
    <t>Arrivals/batch (k)</t>
  </si>
  <si>
    <t>d-a</t>
  </si>
  <si>
    <t>d-b</t>
  </si>
  <si>
    <t>d-c</t>
  </si>
  <si>
    <t>Task 1 Part d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</si>
</sst>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 readingOrder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zoomScale="96" workbookViewId="0">
      <selection activeCell="H15" sqref="H15"/>
    </sheetView>
  </sheetViews>
  <sheetFormatPr defaultRowHeight="14.5" x14ac:dyDescent="0.35"/>
  <cols>
    <col min="2" max="2" width="15.7265625" bestFit="1" customWidth="1"/>
    <col min="3" max="3" width="11.6328125" bestFit="1" customWidth="1"/>
    <col min="4" max="4" width="15.453125" bestFit="1" customWidth="1"/>
    <col min="5" max="5" width="11.81640625" bestFit="1" customWidth="1"/>
    <col min="6" max="7" width="15.453125" bestFit="1" customWidth="1"/>
    <col min="8" max="9" width="11.81640625" bestFit="1" customWidth="1"/>
    <col min="10" max="10" width="15.453125" bestFit="1" customWidth="1"/>
    <col min="11" max="11" width="12.6328125" bestFit="1" customWidth="1"/>
    <col min="12" max="12" width="13.26953125" customWidth="1"/>
    <col min="13" max="13" width="12" customWidth="1"/>
    <col min="14" max="14" width="15.453125" bestFit="1" customWidth="1"/>
    <col min="15" max="15" width="10.54296875" customWidth="1"/>
    <col min="16" max="16" width="10.7265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7" x14ac:dyDescent="0.35">
      <c r="A2" t="s">
        <v>12</v>
      </c>
      <c r="B2">
        <v>250</v>
      </c>
      <c r="C2">
        <v>0.50771999999999995</v>
      </c>
      <c r="D2">
        <v>6.1290700000000004E-3</v>
      </c>
      <c r="E2">
        <f>C2+D2</f>
        <v>0.51384906999999991</v>
      </c>
      <c r="F2">
        <f>C2-D2</f>
        <v>0.50159092999999999</v>
      </c>
      <c r="G2">
        <f>D2* (1.645 / 1.96)</f>
        <v>5.1440408928571432E-3</v>
      </c>
      <c r="H2">
        <f>C2+G2</f>
        <v>0.51286404089285709</v>
      </c>
      <c r="I2">
        <f>C2-G2</f>
        <v>0.50257595910714281</v>
      </c>
      <c r="J2">
        <f>D2 * (2.576/1.96)</f>
        <v>8.0553491428571426E-3</v>
      </c>
      <c r="K2">
        <f>C2+J2</f>
        <v>0.51577534914285705</v>
      </c>
      <c r="L2">
        <f>C2-J2</f>
        <v>0.49966465085714279</v>
      </c>
    </row>
    <row r="3" spans="1:17" x14ac:dyDescent="0.35">
      <c r="A3" t="s">
        <v>12</v>
      </c>
      <c r="B3">
        <v>1000</v>
      </c>
      <c r="C3">
        <v>0.49985000000000002</v>
      </c>
      <c r="D3">
        <v>3.1518399999999999E-3</v>
      </c>
      <c r="E3">
        <f t="shared" ref="E3:E10" si="0">C3+D3</f>
        <v>0.50300184000000003</v>
      </c>
      <c r="F3">
        <f t="shared" ref="F3:F10" si="1">C3-D3</f>
        <v>0.49669816</v>
      </c>
      <c r="G3">
        <f t="shared" ref="G3:G10" si="2">D3* (1.645 / 1.96)</f>
        <v>2.6452942857142859E-3</v>
      </c>
      <c r="H3">
        <f t="shared" ref="H3:H10" si="3">C3+G3</f>
        <v>0.50249529428571427</v>
      </c>
      <c r="I3">
        <f t="shared" ref="I3:I10" si="4">C3-G3</f>
        <v>0.49720470571428571</v>
      </c>
      <c r="J3">
        <f t="shared" ref="J3:J10" si="5">D3 * (2.576/1.96)</f>
        <v>4.1424182857142857E-3</v>
      </c>
      <c r="K3">
        <f t="shared" ref="K3:K10" si="6">C3+J3</f>
        <v>0.50399241828571428</v>
      </c>
      <c r="L3">
        <f t="shared" ref="L3:L10" si="7">C3-J3</f>
        <v>0.49570758171428575</v>
      </c>
    </row>
    <row r="4" spans="1:17" x14ac:dyDescent="0.35">
      <c r="A4" t="s">
        <v>12</v>
      </c>
      <c r="B4">
        <v>4000</v>
      </c>
      <c r="C4">
        <v>0.50001799999999996</v>
      </c>
      <c r="D4">
        <v>1.6609400000000001E-3</v>
      </c>
      <c r="E4">
        <f t="shared" si="0"/>
        <v>0.50167894000000002</v>
      </c>
      <c r="F4">
        <f t="shared" si="1"/>
        <v>0.49835705999999996</v>
      </c>
      <c r="G4">
        <f t="shared" si="2"/>
        <v>1.3940032142857144E-3</v>
      </c>
      <c r="H4">
        <f t="shared" si="3"/>
        <v>0.5014120032142857</v>
      </c>
      <c r="I4">
        <f t="shared" si="4"/>
        <v>0.49862399678571423</v>
      </c>
      <c r="J4">
        <f t="shared" si="5"/>
        <v>2.1829497142857143E-3</v>
      </c>
      <c r="K4">
        <f t="shared" si="6"/>
        <v>0.50220094971428564</v>
      </c>
      <c r="L4">
        <f t="shared" si="7"/>
        <v>0.49783505028571423</v>
      </c>
    </row>
    <row r="5" spans="1:17" x14ac:dyDescent="0.35">
      <c r="A5" t="s">
        <v>15</v>
      </c>
      <c r="B5">
        <v>250</v>
      </c>
      <c r="C5">
        <v>0.45363999999999999</v>
      </c>
      <c r="D5">
        <v>6.0626999999999999E-3</v>
      </c>
      <c r="E5">
        <f t="shared" si="0"/>
        <v>0.45970269999999996</v>
      </c>
      <c r="F5">
        <f t="shared" si="1"/>
        <v>0.44757730000000001</v>
      </c>
      <c r="G5">
        <f t="shared" si="2"/>
        <v>5.0883374999999998E-3</v>
      </c>
      <c r="H5">
        <f>C5+G5</f>
        <v>0.45872833749999997</v>
      </c>
      <c r="I5">
        <f t="shared" si="4"/>
        <v>0.4485516625</v>
      </c>
      <c r="J5">
        <f t="shared" si="5"/>
        <v>7.9681200000000004E-3</v>
      </c>
      <c r="K5">
        <f t="shared" si="6"/>
        <v>0.46160812000000001</v>
      </c>
      <c r="L5">
        <f t="shared" si="7"/>
        <v>0.44567187999999996</v>
      </c>
    </row>
    <row r="6" spans="1:17" x14ac:dyDescent="0.35">
      <c r="A6" t="s">
        <v>15</v>
      </c>
      <c r="B6">
        <v>1000</v>
      </c>
      <c r="C6">
        <v>0.44372</v>
      </c>
      <c r="D6">
        <v>3.4755900000000002E-3</v>
      </c>
      <c r="E6">
        <f t="shared" si="0"/>
        <v>0.44719558999999998</v>
      </c>
      <c r="F6">
        <f t="shared" si="1"/>
        <v>0.44024441000000003</v>
      </c>
      <c r="G6">
        <f t="shared" si="2"/>
        <v>2.9170130357142861E-3</v>
      </c>
      <c r="H6">
        <f t="shared" si="3"/>
        <v>0.44663701303571429</v>
      </c>
      <c r="I6">
        <f t="shared" si="4"/>
        <v>0.44080298696428571</v>
      </c>
      <c r="J6">
        <f t="shared" si="5"/>
        <v>4.5679182857142862E-3</v>
      </c>
      <c r="K6">
        <f t="shared" si="6"/>
        <v>0.44828791828571429</v>
      </c>
      <c r="L6">
        <f t="shared" si="7"/>
        <v>0.43915208171428571</v>
      </c>
      <c r="M6" s="3"/>
      <c r="N6" s="3"/>
    </row>
    <row r="7" spans="1:17" x14ac:dyDescent="0.35">
      <c r="A7" t="s">
        <v>15</v>
      </c>
      <c r="B7">
        <v>4000</v>
      </c>
      <c r="C7">
        <v>0.44420300000000001</v>
      </c>
      <c r="D7">
        <v>1.6867E-3</v>
      </c>
      <c r="E7">
        <f t="shared" si="0"/>
        <v>0.4458897</v>
      </c>
      <c r="F7">
        <f t="shared" si="1"/>
        <v>0.44251630000000003</v>
      </c>
      <c r="G7">
        <f t="shared" si="2"/>
        <v>1.4156232142857144E-3</v>
      </c>
      <c r="H7">
        <f>C7+G7</f>
        <v>0.44561862321428575</v>
      </c>
      <c r="I7">
        <f t="shared" si="4"/>
        <v>0.44278737678571428</v>
      </c>
      <c r="J7">
        <f t="shared" si="5"/>
        <v>2.2168057142857144E-3</v>
      </c>
      <c r="K7">
        <f t="shared" si="6"/>
        <v>0.44641980571428574</v>
      </c>
      <c r="L7">
        <f t="shared" si="7"/>
        <v>0.44198619428571428</v>
      </c>
    </row>
    <row r="8" spans="1:17" x14ac:dyDescent="0.35">
      <c r="A8" t="s">
        <v>16</v>
      </c>
      <c r="B8">
        <v>250</v>
      </c>
      <c r="C8">
        <v>0.38035999999999998</v>
      </c>
      <c r="D8">
        <v>5.5247500000000001E-3</v>
      </c>
      <c r="E8">
        <f t="shared" si="0"/>
        <v>0.38588475</v>
      </c>
      <c r="F8">
        <f t="shared" si="1"/>
        <v>0.37483524999999995</v>
      </c>
      <c r="G8">
        <f t="shared" si="2"/>
        <v>4.6368437500000003E-3</v>
      </c>
      <c r="H8">
        <f t="shared" si="3"/>
        <v>0.38499684374999998</v>
      </c>
      <c r="I8">
        <f t="shared" si="4"/>
        <v>0.37572315624999997</v>
      </c>
      <c r="J8">
        <f t="shared" si="5"/>
        <v>7.2611000000000004E-3</v>
      </c>
      <c r="K8">
        <f t="shared" si="6"/>
        <v>0.3876211</v>
      </c>
      <c r="L8">
        <f>C8-J8</f>
        <v>0.37309889999999996</v>
      </c>
    </row>
    <row r="9" spans="1:17" x14ac:dyDescent="0.35">
      <c r="A9" t="s">
        <v>16</v>
      </c>
      <c r="B9">
        <v>1000</v>
      </c>
      <c r="C9">
        <v>0.44372</v>
      </c>
      <c r="D9">
        <v>2.7853800000000001E-3</v>
      </c>
      <c r="E9">
        <f t="shared" si="0"/>
        <v>0.44650538000000001</v>
      </c>
      <c r="F9">
        <f t="shared" si="1"/>
        <v>0.44093462</v>
      </c>
      <c r="G9">
        <f t="shared" si="2"/>
        <v>2.3377296428571431E-3</v>
      </c>
      <c r="H9">
        <f>C9+G9</f>
        <v>0.44605772964285717</v>
      </c>
      <c r="I9">
        <f t="shared" si="4"/>
        <v>0.44138227035714284</v>
      </c>
      <c r="J9">
        <f t="shared" si="5"/>
        <v>3.6607851428571429E-3</v>
      </c>
      <c r="K9">
        <f t="shared" si="6"/>
        <v>0.44738078514285717</v>
      </c>
      <c r="L9">
        <f t="shared" si="7"/>
        <v>0.44005921485714283</v>
      </c>
    </row>
    <row r="10" spans="1:17" x14ac:dyDescent="0.35">
      <c r="A10" t="s">
        <v>16</v>
      </c>
      <c r="B10">
        <v>4000</v>
      </c>
      <c r="C10">
        <v>0.44420300000000001</v>
      </c>
      <c r="D10">
        <v>1.27622E-3</v>
      </c>
      <c r="E10">
        <f t="shared" si="0"/>
        <v>0.44547922000000001</v>
      </c>
      <c r="F10">
        <f t="shared" si="1"/>
        <v>0.44292678000000002</v>
      </c>
      <c r="G10">
        <f t="shared" si="2"/>
        <v>1.0711132142857142E-3</v>
      </c>
      <c r="H10">
        <f t="shared" si="3"/>
        <v>0.44527411321428573</v>
      </c>
      <c r="I10">
        <f t="shared" si="4"/>
        <v>0.4431318867857143</v>
      </c>
      <c r="J10">
        <f t="shared" si="5"/>
        <v>1.6773177142857143E-3</v>
      </c>
      <c r="K10">
        <f t="shared" si="6"/>
        <v>0.44588031771428571</v>
      </c>
      <c r="L10">
        <f t="shared" si="7"/>
        <v>0.44252568228571432</v>
      </c>
    </row>
    <row r="13" spans="1:17" ht="15" thickBot="1" x14ac:dyDescent="0.4"/>
    <row r="14" spans="1:17" ht="15" thickBot="1" x14ac:dyDescent="0.4">
      <c r="A14" s="10" t="s">
        <v>0</v>
      </c>
      <c r="B14" s="11" t="s">
        <v>1</v>
      </c>
      <c r="C14" s="11" t="s">
        <v>2</v>
      </c>
      <c r="D14" s="11" t="s">
        <v>17</v>
      </c>
      <c r="E14" s="11" t="s">
        <v>18</v>
      </c>
      <c r="F14" s="12" t="s">
        <v>6</v>
      </c>
      <c r="P14" s="15" t="s">
        <v>13</v>
      </c>
      <c r="Q14" s="15" t="s">
        <v>14</v>
      </c>
    </row>
    <row r="15" spans="1:17" x14ac:dyDescent="0.35">
      <c r="A15" s="4" t="s">
        <v>12</v>
      </c>
      <c r="B15" s="5">
        <v>250</v>
      </c>
      <c r="C15" s="5">
        <v>0.50771999999999995</v>
      </c>
      <c r="D15" s="5">
        <f>C15-F15</f>
        <v>0.50257595910714281</v>
      </c>
      <c r="E15" s="5">
        <f>C15+F15</f>
        <v>0.51286404089285709</v>
      </c>
      <c r="F15" s="6">
        <f>D2* (1.645 / 1.96)</f>
        <v>5.1440408928571432E-3</v>
      </c>
      <c r="P15" s="1">
        <v>0.9</v>
      </c>
      <c r="Q15" s="2">
        <v>1.645</v>
      </c>
    </row>
    <row r="16" spans="1:17" x14ac:dyDescent="0.35">
      <c r="A16" s="4" t="s">
        <v>12</v>
      </c>
      <c r="B16" s="5">
        <v>1000</v>
      </c>
      <c r="C16" s="5">
        <v>0.49985000000000002</v>
      </c>
      <c r="D16" s="5">
        <f t="shared" ref="D16:D23" si="8">C16-F16</f>
        <v>0.49720470571428571</v>
      </c>
      <c r="E16" s="5">
        <f t="shared" ref="E16:E23" si="9">C16+F16</f>
        <v>0.50249529428571427</v>
      </c>
      <c r="F16" s="6">
        <f t="shared" ref="F16:F23" si="10">D3* (1.645 / 1.96)</f>
        <v>2.6452942857142859E-3</v>
      </c>
      <c r="P16" s="1">
        <v>0.95</v>
      </c>
      <c r="Q16" s="2">
        <v>1.96</v>
      </c>
    </row>
    <row r="17" spans="1:17" x14ac:dyDescent="0.35">
      <c r="A17" s="4" t="s">
        <v>12</v>
      </c>
      <c r="B17" s="5">
        <v>4000</v>
      </c>
      <c r="C17" s="5">
        <v>0.50001799999999996</v>
      </c>
      <c r="D17" s="5">
        <f t="shared" si="8"/>
        <v>0.49862399678571423</v>
      </c>
      <c r="E17" s="5">
        <f>C17+F17</f>
        <v>0.5014120032142857</v>
      </c>
      <c r="F17" s="6">
        <f t="shared" si="10"/>
        <v>1.3940032142857144E-3</v>
      </c>
      <c r="P17" s="1">
        <v>0.99</v>
      </c>
      <c r="Q17" s="2">
        <v>2.5760000000000001</v>
      </c>
    </row>
    <row r="18" spans="1:17" x14ac:dyDescent="0.35">
      <c r="A18" s="4" t="s">
        <v>15</v>
      </c>
      <c r="B18" s="5">
        <v>250</v>
      </c>
      <c r="C18" s="5">
        <v>0.45363999999999999</v>
      </c>
      <c r="D18" s="5">
        <f t="shared" si="8"/>
        <v>0.4485516625</v>
      </c>
      <c r="E18" s="5">
        <f t="shared" si="9"/>
        <v>0.45872833749999997</v>
      </c>
      <c r="F18" s="6">
        <f t="shared" si="10"/>
        <v>5.0883374999999998E-3</v>
      </c>
    </row>
    <row r="19" spans="1:17" x14ac:dyDescent="0.35">
      <c r="A19" s="4" t="s">
        <v>15</v>
      </c>
      <c r="B19" s="5">
        <v>1000</v>
      </c>
      <c r="C19" s="5">
        <v>0.44372</v>
      </c>
      <c r="D19" s="5">
        <f t="shared" si="8"/>
        <v>0.44080298696428571</v>
      </c>
      <c r="E19" s="5">
        <f t="shared" si="9"/>
        <v>0.44663701303571429</v>
      </c>
      <c r="F19" s="6">
        <f t="shared" si="10"/>
        <v>2.9170130357142861E-3</v>
      </c>
    </row>
    <row r="20" spans="1:17" x14ac:dyDescent="0.35">
      <c r="A20" s="4" t="s">
        <v>15</v>
      </c>
      <c r="B20" s="5">
        <v>4000</v>
      </c>
      <c r="C20" s="5">
        <v>0.44420300000000001</v>
      </c>
      <c r="D20" s="5">
        <f t="shared" si="8"/>
        <v>0.44278737678571428</v>
      </c>
      <c r="E20" s="5">
        <f t="shared" si="9"/>
        <v>0.44561862321428575</v>
      </c>
      <c r="F20" s="6">
        <f t="shared" si="10"/>
        <v>1.4156232142857144E-3</v>
      </c>
    </row>
    <row r="21" spans="1:17" x14ac:dyDescent="0.35">
      <c r="A21" s="4" t="s">
        <v>16</v>
      </c>
      <c r="B21" s="5">
        <v>250</v>
      </c>
      <c r="C21" s="5">
        <v>0.38035999999999998</v>
      </c>
      <c r="D21" s="5">
        <f t="shared" si="8"/>
        <v>0.37572315624999997</v>
      </c>
      <c r="E21" s="5">
        <f t="shared" si="9"/>
        <v>0.38499684374999998</v>
      </c>
      <c r="F21" s="6">
        <f t="shared" si="10"/>
        <v>4.6368437500000003E-3</v>
      </c>
    </row>
    <row r="22" spans="1:17" x14ac:dyDescent="0.35">
      <c r="A22" s="4" t="s">
        <v>16</v>
      </c>
      <c r="B22" s="5">
        <v>1000</v>
      </c>
      <c r="C22" s="5">
        <v>0.44372</v>
      </c>
      <c r="D22" s="5">
        <f t="shared" si="8"/>
        <v>0.44138227035714284</v>
      </c>
      <c r="E22" s="5">
        <f t="shared" si="9"/>
        <v>0.44605772964285717</v>
      </c>
      <c r="F22" s="6">
        <f t="shared" si="10"/>
        <v>2.3377296428571431E-3</v>
      </c>
    </row>
    <row r="23" spans="1:17" ht="15" thickBot="1" x14ac:dyDescent="0.4">
      <c r="A23" s="7" t="s">
        <v>16</v>
      </c>
      <c r="B23" s="8">
        <v>4000</v>
      </c>
      <c r="C23" s="8">
        <v>0.44420300000000001</v>
      </c>
      <c r="D23" s="8">
        <f t="shared" si="8"/>
        <v>0.4431318867857143</v>
      </c>
      <c r="E23" s="8">
        <f t="shared" si="9"/>
        <v>0.44527411321428573</v>
      </c>
      <c r="F23" s="9">
        <f t="shared" si="10"/>
        <v>1.0711132142857142E-3</v>
      </c>
    </row>
    <row r="26" spans="1:17" ht="15" thickBot="1" x14ac:dyDescent="0.4"/>
    <row r="27" spans="1:17" ht="15" thickBot="1" x14ac:dyDescent="0.4">
      <c r="A27" s="10" t="s">
        <v>0</v>
      </c>
      <c r="B27" s="11" t="s">
        <v>1</v>
      </c>
      <c r="C27" s="11" t="s">
        <v>2</v>
      </c>
      <c r="D27" s="11" t="s">
        <v>19</v>
      </c>
      <c r="E27" s="11" t="s">
        <v>20</v>
      </c>
      <c r="F27" s="12" t="s">
        <v>3</v>
      </c>
    </row>
    <row r="28" spans="1:17" x14ac:dyDescent="0.35">
      <c r="A28" s="4" t="s">
        <v>12</v>
      </c>
      <c r="B28" s="5">
        <v>250</v>
      </c>
      <c r="C28" s="5">
        <v>0.50771999999999995</v>
      </c>
      <c r="D28" s="5">
        <f>C28-F28</f>
        <v>0.50159092999999999</v>
      </c>
      <c r="E28" s="5">
        <f>C28+F28</f>
        <v>0.51384906999999991</v>
      </c>
      <c r="F28" s="6">
        <v>6.1290700000000004E-3</v>
      </c>
    </row>
    <row r="29" spans="1:17" x14ac:dyDescent="0.35">
      <c r="A29" s="4" t="s">
        <v>12</v>
      </c>
      <c r="B29" s="5">
        <v>1000</v>
      </c>
      <c r="C29" s="5">
        <v>0.49985000000000002</v>
      </c>
      <c r="D29" s="5">
        <f t="shared" ref="D29:D36" si="11">C29-F29</f>
        <v>0.49669816</v>
      </c>
      <c r="E29" s="5">
        <f t="shared" ref="E29" si="12">C29+F29</f>
        <v>0.50300184000000003</v>
      </c>
      <c r="F29" s="6">
        <v>3.1518399999999999E-3</v>
      </c>
    </row>
    <row r="30" spans="1:17" x14ac:dyDescent="0.35">
      <c r="A30" s="4" t="s">
        <v>12</v>
      </c>
      <c r="B30" s="5">
        <v>4000</v>
      </c>
      <c r="C30" s="5">
        <v>0.50001799999999996</v>
      </c>
      <c r="D30" s="5">
        <f t="shared" si="11"/>
        <v>0.49835705999999996</v>
      </c>
      <c r="E30" s="5">
        <f>C30+F30</f>
        <v>0.50167894000000002</v>
      </c>
      <c r="F30" s="6">
        <v>1.6609400000000001E-3</v>
      </c>
    </row>
    <row r="31" spans="1:17" x14ac:dyDescent="0.35">
      <c r="A31" s="4" t="s">
        <v>15</v>
      </c>
      <c r="B31" s="5">
        <v>250</v>
      </c>
      <c r="C31" s="5">
        <v>0.45363999999999999</v>
      </c>
      <c r="D31" s="5">
        <f t="shared" si="11"/>
        <v>0.44757730000000001</v>
      </c>
      <c r="E31" s="5">
        <f t="shared" ref="E31:E36" si="13">C31+F31</f>
        <v>0.45970269999999996</v>
      </c>
      <c r="F31" s="6">
        <v>6.0626999999999999E-3</v>
      </c>
    </row>
    <row r="32" spans="1:17" x14ac:dyDescent="0.35">
      <c r="A32" s="4" t="s">
        <v>15</v>
      </c>
      <c r="B32" s="5">
        <v>1000</v>
      </c>
      <c r="C32" s="5">
        <v>0.44372</v>
      </c>
      <c r="D32" s="5">
        <f t="shared" si="11"/>
        <v>0.44024441000000003</v>
      </c>
      <c r="E32" s="5">
        <f t="shared" si="13"/>
        <v>0.44719558999999998</v>
      </c>
      <c r="F32" s="6">
        <v>3.4755900000000002E-3</v>
      </c>
    </row>
    <row r="33" spans="1:6" x14ac:dyDescent="0.35">
      <c r="A33" s="4" t="s">
        <v>15</v>
      </c>
      <c r="B33" s="5">
        <v>4000</v>
      </c>
      <c r="C33" s="5">
        <v>0.44420300000000001</v>
      </c>
      <c r="D33" s="5">
        <f t="shared" si="11"/>
        <v>0.44251630000000003</v>
      </c>
      <c r="E33" s="5">
        <f t="shared" si="13"/>
        <v>0.4458897</v>
      </c>
      <c r="F33" s="6">
        <v>1.6867E-3</v>
      </c>
    </row>
    <row r="34" spans="1:6" x14ac:dyDescent="0.35">
      <c r="A34" s="4" t="s">
        <v>16</v>
      </c>
      <c r="B34" s="5">
        <v>250</v>
      </c>
      <c r="C34" s="5">
        <v>0.38035999999999998</v>
      </c>
      <c r="D34" s="5">
        <f t="shared" si="11"/>
        <v>0.37483524999999995</v>
      </c>
      <c r="E34" s="5">
        <f t="shared" si="13"/>
        <v>0.38588475</v>
      </c>
      <c r="F34" s="6">
        <v>5.5247500000000001E-3</v>
      </c>
    </row>
    <row r="35" spans="1:6" x14ac:dyDescent="0.35">
      <c r="A35" s="4" t="s">
        <v>16</v>
      </c>
      <c r="B35" s="5">
        <v>1000</v>
      </c>
      <c r="C35" s="5">
        <v>0.44372</v>
      </c>
      <c r="D35" s="5">
        <f t="shared" si="11"/>
        <v>0.44093462</v>
      </c>
      <c r="E35" s="5">
        <f t="shared" si="13"/>
        <v>0.44650538000000001</v>
      </c>
      <c r="F35" s="6">
        <v>2.7853800000000001E-3</v>
      </c>
    </row>
    <row r="36" spans="1:6" ht="15" thickBot="1" x14ac:dyDescent="0.4">
      <c r="A36" s="7" t="s">
        <v>16</v>
      </c>
      <c r="B36" s="8">
        <v>4000</v>
      </c>
      <c r="C36" s="8">
        <v>0.44420300000000001</v>
      </c>
      <c r="D36" s="8">
        <f t="shared" si="11"/>
        <v>0.44292678000000002</v>
      </c>
      <c r="E36" s="8">
        <f t="shared" si="13"/>
        <v>0.44547922000000001</v>
      </c>
      <c r="F36" s="9">
        <v>1.27622E-3</v>
      </c>
    </row>
    <row r="39" spans="1:6" ht="15" thickBot="1" x14ac:dyDescent="0.4"/>
    <row r="40" spans="1:6" ht="15" thickBot="1" x14ac:dyDescent="0.4">
      <c r="A40" s="10" t="s">
        <v>0</v>
      </c>
      <c r="B40" s="11" t="s">
        <v>1</v>
      </c>
      <c r="C40" s="11" t="s">
        <v>2</v>
      </c>
      <c r="D40" s="11" t="s">
        <v>22</v>
      </c>
      <c r="E40" s="11" t="s">
        <v>21</v>
      </c>
      <c r="F40" s="12" t="s">
        <v>9</v>
      </c>
    </row>
    <row r="41" spans="1:6" x14ac:dyDescent="0.35">
      <c r="A41" s="4" t="s">
        <v>12</v>
      </c>
      <c r="B41" s="5">
        <v>250</v>
      </c>
      <c r="C41" s="5">
        <v>0.50771999999999995</v>
      </c>
      <c r="D41" s="5">
        <f>C41-F41</f>
        <v>0.49966465085714279</v>
      </c>
      <c r="E41" s="5">
        <f>C41+F41</f>
        <v>0.51577534914285705</v>
      </c>
      <c r="F41" s="6">
        <f>D2 * (2.576/1.96)</f>
        <v>8.0553491428571426E-3</v>
      </c>
    </row>
    <row r="42" spans="1:6" x14ac:dyDescent="0.35">
      <c r="A42" s="4" t="s">
        <v>12</v>
      </c>
      <c r="B42" s="5">
        <v>1000</v>
      </c>
      <c r="C42" s="5">
        <v>0.49985000000000002</v>
      </c>
      <c r="D42" s="5">
        <f t="shared" ref="D42:D49" si="14">C42-F42</f>
        <v>0.49570758171428575</v>
      </c>
      <c r="E42" s="5">
        <f t="shared" ref="E42" si="15">C42+F42</f>
        <v>0.50399241828571428</v>
      </c>
      <c r="F42" s="6">
        <f t="shared" ref="F42:F48" si="16">D3 * (2.576/1.96)</f>
        <v>4.1424182857142857E-3</v>
      </c>
    </row>
    <row r="43" spans="1:6" x14ac:dyDescent="0.35">
      <c r="A43" s="4" t="s">
        <v>12</v>
      </c>
      <c r="B43" s="5">
        <v>4000</v>
      </c>
      <c r="C43" s="5">
        <v>0.50001799999999996</v>
      </c>
      <c r="D43" s="5">
        <f t="shared" si="14"/>
        <v>0.49783505028571423</v>
      </c>
      <c r="E43" s="5">
        <f>C43+F43</f>
        <v>0.50220094971428564</v>
      </c>
      <c r="F43" s="6">
        <f t="shared" si="16"/>
        <v>2.1829497142857143E-3</v>
      </c>
    </row>
    <row r="44" spans="1:6" x14ac:dyDescent="0.35">
      <c r="A44" s="4" t="s">
        <v>15</v>
      </c>
      <c r="B44" s="5">
        <v>250</v>
      </c>
      <c r="C44" s="5">
        <v>0.45363999999999999</v>
      </c>
      <c r="D44" s="5">
        <f t="shared" si="14"/>
        <v>0.44567187999999996</v>
      </c>
      <c r="E44" s="5">
        <f t="shared" ref="E44:E49" si="17">C44+F44</f>
        <v>0.46160812000000001</v>
      </c>
      <c r="F44" s="6">
        <f t="shared" si="16"/>
        <v>7.9681200000000004E-3</v>
      </c>
    </row>
    <row r="45" spans="1:6" x14ac:dyDescent="0.35">
      <c r="A45" s="4" t="s">
        <v>15</v>
      </c>
      <c r="B45" s="5">
        <v>1000</v>
      </c>
      <c r="C45" s="5">
        <v>0.44372</v>
      </c>
      <c r="D45" s="5">
        <f t="shared" si="14"/>
        <v>0.43915208171428571</v>
      </c>
      <c r="E45" s="5">
        <f t="shared" si="17"/>
        <v>0.44828791828571429</v>
      </c>
      <c r="F45" s="6">
        <f t="shared" si="16"/>
        <v>4.5679182857142862E-3</v>
      </c>
    </row>
    <row r="46" spans="1:6" x14ac:dyDescent="0.35">
      <c r="A46" s="4" t="s">
        <v>15</v>
      </c>
      <c r="B46" s="5">
        <v>4000</v>
      </c>
      <c r="C46" s="5">
        <v>0.44420300000000001</v>
      </c>
      <c r="D46" s="5">
        <f t="shared" si="14"/>
        <v>0.44198619428571428</v>
      </c>
      <c r="E46" s="5">
        <f t="shared" si="17"/>
        <v>0.44641980571428574</v>
      </c>
      <c r="F46" s="6">
        <f t="shared" si="16"/>
        <v>2.2168057142857144E-3</v>
      </c>
    </row>
    <row r="47" spans="1:6" x14ac:dyDescent="0.35">
      <c r="A47" s="4" t="s">
        <v>16</v>
      </c>
      <c r="B47" s="5">
        <v>250</v>
      </c>
      <c r="C47" s="5">
        <v>0.38035999999999998</v>
      </c>
      <c r="D47" s="5">
        <f t="shared" si="14"/>
        <v>0.37309889999999996</v>
      </c>
      <c r="E47" s="5">
        <f t="shared" si="17"/>
        <v>0.3876211</v>
      </c>
      <c r="F47" s="6">
        <f t="shared" si="16"/>
        <v>7.2611000000000004E-3</v>
      </c>
    </row>
    <row r="48" spans="1:6" x14ac:dyDescent="0.35">
      <c r="A48" s="4" t="s">
        <v>16</v>
      </c>
      <c r="B48" s="5">
        <v>1000</v>
      </c>
      <c r="C48" s="5">
        <v>0.44372</v>
      </c>
      <c r="D48" s="5">
        <f t="shared" si="14"/>
        <v>0.44005921485714283</v>
      </c>
      <c r="E48" s="5">
        <f t="shared" si="17"/>
        <v>0.44738078514285717</v>
      </c>
      <c r="F48" s="6">
        <f t="shared" si="16"/>
        <v>3.6607851428571429E-3</v>
      </c>
    </row>
    <row r="49" spans="1:14" ht="15" thickBot="1" x14ac:dyDescent="0.4">
      <c r="A49" s="7" t="s">
        <v>16</v>
      </c>
      <c r="B49" s="8">
        <v>4000</v>
      </c>
      <c r="C49" s="8">
        <v>0.44420300000000001</v>
      </c>
      <c r="D49" s="8">
        <f t="shared" si="14"/>
        <v>0.44252568228571432</v>
      </c>
      <c r="E49" s="8">
        <f t="shared" si="17"/>
        <v>0.44588031771428571</v>
      </c>
      <c r="F49" s="9">
        <f>D10 * (2.576/1.96)</f>
        <v>1.6773177142857143E-3</v>
      </c>
    </row>
    <row r="55" spans="1:14" x14ac:dyDescent="0.35">
      <c r="A55" s="17" t="s">
        <v>28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x14ac:dyDescent="0.3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" thickBot="1" x14ac:dyDescent="0.4"/>
    <row r="58" spans="1:14" ht="15" thickBot="1" x14ac:dyDescent="0.4">
      <c r="A58" s="13" t="s">
        <v>23</v>
      </c>
      <c r="B58" s="14">
        <v>100</v>
      </c>
      <c r="I58" s="13" t="s">
        <v>23</v>
      </c>
      <c r="J58" s="14">
        <v>400</v>
      </c>
    </row>
    <row r="59" spans="1:14" ht="15" thickBot="1" x14ac:dyDescent="0.4">
      <c r="A59" s="10" t="s">
        <v>0</v>
      </c>
      <c r="B59" s="11" t="s">
        <v>24</v>
      </c>
      <c r="C59" s="11" t="s">
        <v>2</v>
      </c>
      <c r="D59" s="11" t="s">
        <v>19</v>
      </c>
      <c r="E59" s="11" t="s">
        <v>20</v>
      </c>
      <c r="F59" s="12" t="s">
        <v>3</v>
      </c>
      <c r="I59" s="10" t="s">
        <v>0</v>
      </c>
      <c r="J59" s="11" t="s">
        <v>24</v>
      </c>
      <c r="K59" s="11" t="s">
        <v>2</v>
      </c>
      <c r="L59" s="11" t="s">
        <v>19</v>
      </c>
      <c r="M59" s="11" t="s">
        <v>20</v>
      </c>
      <c r="N59" s="12" t="s">
        <v>3</v>
      </c>
    </row>
    <row r="60" spans="1:14" x14ac:dyDescent="0.35">
      <c r="A60" s="4" t="s">
        <v>12</v>
      </c>
      <c r="B60" s="5">
        <v>4000</v>
      </c>
      <c r="C60" s="5">
        <v>0.50001799999999996</v>
      </c>
      <c r="D60" s="5">
        <f t="shared" ref="D60:D62" si="18">C60-F60</f>
        <v>0.49835705999999996</v>
      </c>
      <c r="E60" s="5">
        <f>C60+F60</f>
        <v>0.50167894000000002</v>
      </c>
      <c r="F60" s="6">
        <v>1.6609400000000001E-3</v>
      </c>
      <c r="I60" s="4" t="s">
        <v>25</v>
      </c>
      <c r="J60" s="5">
        <v>1000</v>
      </c>
      <c r="K60" s="5">
        <v>0.50008300000000006</v>
      </c>
      <c r="L60" s="5">
        <f>K60-N60</f>
        <v>0.49850989000000007</v>
      </c>
      <c r="M60" s="5">
        <f>K60+N60</f>
        <v>0.5016561100000001</v>
      </c>
      <c r="N60" s="6">
        <v>1.57311E-3</v>
      </c>
    </row>
    <row r="61" spans="1:14" x14ac:dyDescent="0.35">
      <c r="A61" s="4" t="s">
        <v>15</v>
      </c>
      <c r="B61" s="5">
        <v>4000</v>
      </c>
      <c r="C61" s="5">
        <v>0.44420300000000001</v>
      </c>
      <c r="D61" s="5">
        <f t="shared" si="18"/>
        <v>0.44251630000000003</v>
      </c>
      <c r="E61" s="5">
        <f>C61+F61</f>
        <v>0.4458897</v>
      </c>
      <c r="F61" s="6">
        <v>1.6867E-3</v>
      </c>
      <c r="I61" s="4" t="s">
        <v>26</v>
      </c>
      <c r="J61" s="5">
        <v>1000</v>
      </c>
      <c r="K61" s="5">
        <v>0.44448199999999999</v>
      </c>
      <c r="L61" s="5">
        <f t="shared" ref="L61:L62" si="19">K61-N61</f>
        <v>0.44293719999999998</v>
      </c>
      <c r="M61" s="5">
        <f t="shared" ref="M61:M62" si="20">K61+N61</f>
        <v>0.4460268</v>
      </c>
      <c r="N61" s="6">
        <v>1.5448E-3</v>
      </c>
    </row>
    <row r="62" spans="1:14" ht="15" thickBot="1" x14ac:dyDescent="0.4">
      <c r="A62" s="7" t="s">
        <v>16</v>
      </c>
      <c r="B62" s="8">
        <v>4000</v>
      </c>
      <c r="C62" s="8">
        <v>0.44420300000000001</v>
      </c>
      <c r="D62" s="8">
        <f t="shared" si="18"/>
        <v>0.44292678000000002</v>
      </c>
      <c r="E62" s="8">
        <f t="shared" ref="E61:E62" si="21">C62+F62</f>
        <v>0.44547922000000001</v>
      </c>
      <c r="F62" s="9">
        <v>1.27622E-3</v>
      </c>
      <c r="I62" s="7" t="s">
        <v>27</v>
      </c>
      <c r="J62" s="8">
        <v>1000</v>
      </c>
      <c r="K62" s="8">
        <v>0.37529200000000001</v>
      </c>
      <c r="L62" s="8">
        <f t="shared" si="19"/>
        <v>0.37384102000000002</v>
      </c>
      <c r="M62" s="8">
        <f t="shared" si="20"/>
        <v>0.37674298000000001</v>
      </c>
      <c r="N62" s="9">
        <v>1.4509799999999999E-3</v>
      </c>
    </row>
  </sheetData>
  <mergeCells count="1">
    <mergeCell ref="A55:N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Sakina Rizavi</cp:lastModifiedBy>
  <dcterms:created xsi:type="dcterms:W3CDTF">2015-06-05T18:17:20Z</dcterms:created>
  <dcterms:modified xsi:type="dcterms:W3CDTF">2025-12-10T18:43:15Z</dcterms:modified>
</cp:coreProperties>
</file>